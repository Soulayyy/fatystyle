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èse" sheetId="1" state="visible" r:id="rId1"/>
    <sheet xmlns:r="http://schemas.openxmlformats.org/officeDocument/2006/relationships" name="Détail charges" sheetId="2" state="visible" r:id="rId2"/>
    <sheet xmlns:r="http://schemas.openxmlformats.org/officeDocument/2006/relationships" name="Lots" sheetId="3" state="visible" r:id="rId3"/>
    <sheet xmlns:r="http://schemas.openxmlformats.org/officeDocument/2006/relationships" name="Planning" sheetId="4" state="visible" r:id="rId4"/>
    <sheet xmlns:r="http://schemas.openxmlformats.org/officeDocument/2006/relationships" name="Risques" sheetId="5" state="visible" r:id="rId5"/>
    <sheet xmlns:r="http://schemas.openxmlformats.org/officeDocument/2006/relationships" name="Recette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81818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E91E63"/>
      </patternFill>
    </fill>
    <fill>
      <patternFill patternType="solid">
        <fgColor rgb="FFF7F1E8"/>
      </patternFill>
    </fill>
    <fill>
      <patternFill patternType="solid">
        <fgColor rgb="FF181818"/>
      </patternFill>
    </fill>
  </fills>
  <borders count="2">
    <border/>
    <border/>
  </borders>
  <cellStyleXfs count="1">
    <xf numFmtId="0" fontId="0" fillId="0" borderId="1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2" fontId="0" fillId="0" borderId="0" pivotButton="0" quotePrefix="0" xfId="0"/>
    <xf numFmtId="2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des 435 heures par lot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Heures</v>
          </tx>
          <spPr>
            <a:ln xmlns:a="http://schemas.openxmlformats.org/drawingml/2006/main">
              <a:prstDash val="solid"/>
            </a:ln>
          </spPr>
          <cat>
            <strRef>
              <f>'Synthèse'!$A$27:$A$36</f>
              <strCache>
                <ptCount val="0"/>
              </strCache>
            </strRef>
          </cat>
          <val>
            <numRef>
              <f>'Synthèse'!$B$27:$B$36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11</row>
      <rowOff>0</rowOff>
    </from>
    <to>
      <col>12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hargesDetailTable" displayName="ChargesDetailTable" ref="A1:G57" headerRowCount="1">
  <tableColumns count="7">
    <tableColumn id="1" name="Lot"/>
    <tableColumn id="2" name="ID"/>
    <tableColumn id="3" name="Tâche"/>
    <tableColumn id="4" name="Description détaillée"/>
    <tableColumn id="5" name="Complexité"/>
    <tableColumn id="6" name="Statut"/>
    <tableColumn id="7" name="Heures prévues"/>
  </tableColumns>
  <tableStyleInfo name="TableStyleMedium2" showRowStripes="1"/>
</table>
</file>

<file path=xl/tables/table2.xml><?xml version="1.0" encoding="utf-8"?>
<table xmlns="http://schemas.openxmlformats.org/spreadsheetml/2006/main" id="2" name="LotsTable" displayName="LotsTable" ref="A1:E11" headerRowCount="1">
  <tableColumns count="5">
    <tableColumn id="1" name="Lot"/>
    <tableColumn id="2" name="Objectif"/>
    <tableColumn id="3" name="Heures"/>
    <tableColumn id="4" name="% total"/>
    <tableColumn id="5" name="Niveau de complexité"/>
  </tableColumns>
  <tableStyleInfo name="TableStyleMedium2" showRowStripes="1"/>
</table>
</file>

<file path=xl/tables/table3.xml><?xml version="1.0" encoding="utf-8"?>
<table xmlns="http://schemas.openxmlformats.org/spreadsheetml/2006/main" id="3" name="PlanningTable" displayName="PlanningTable" ref="A1:G11" headerRowCount="1">
  <tableColumns count="7">
    <tableColumn id="1" name="Phase"/>
    <tableColumn id="2" name="Lot"/>
    <tableColumn id="3" name="Début"/>
    <tableColumn id="4" name="Fin"/>
    <tableColumn id="5" name="Charge (h)"/>
    <tableColumn id="6" name="Livrable"/>
    <tableColumn id="7" name="Statut"/>
  </tableColumns>
  <tableStyleInfo name="TableStyleMedium2" showRowStripes="1"/>
</table>
</file>

<file path=xl/tables/table4.xml><?xml version="1.0" encoding="utf-8"?>
<table xmlns="http://schemas.openxmlformats.org/spreadsheetml/2006/main" id="4" name="RisquesTable" displayName="RisquesTable" ref="A1:F7" headerRowCount="1">
  <tableColumns count="6">
    <tableColumn id="1" name="ID"/>
    <tableColumn id="2" name="Risque"/>
    <tableColumn id="3" name="Impact"/>
    <tableColumn id="4" name="Probabilité"/>
    <tableColumn id="5" name="Mesure de maîtrise"/>
    <tableColumn id="6" name="Statut"/>
  </tableColumns>
  <tableStyleInfo name="TableStyleMedium2" showRowStripes="1"/>
</table>
</file>

<file path=xl/tables/table5.xml><?xml version="1.0" encoding="utf-8"?>
<table xmlns="http://schemas.openxmlformats.org/spreadsheetml/2006/main" id="5" name="RecetteTable" displayName="RecetteTable" ref="A1:F13" headerRowCount="1">
  <tableColumns count="6">
    <tableColumn id="1" name="ID"/>
    <tableColumn id="2" name="Contrôle"/>
    <tableColumn id="3" name="Résultat attendu"/>
    <tableColumn id="4" name="Statut"/>
    <tableColumn id="5" name="Preuve / commentaire"/>
    <tableColumn id="6" name="Pag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36" customWidth="1" min="4" max="4"/>
  </cols>
  <sheetData>
    <row r="1">
      <c r="A1" s="45" t="inlineStr">
        <is>
          <t>FATY STYLE — SUIVI PROJET, CHARGES ET CHIFFRAGE</t>
        </is>
      </c>
      <c r="B1" s="1" t="n"/>
      <c r="C1" s="1" t="n"/>
      <c r="D1" s="1" t="n"/>
      <c r="E1" s="1" t="n"/>
      <c r="F1" s="1" t="n"/>
      <c r="G1" s="1" t="n"/>
      <c r="H1" s="1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8" t="inlineStr">
        <is>
          <t>Projet</t>
        </is>
      </c>
      <c r="B3" s="39" t="inlineStr">
        <is>
          <t>Faty Style — site vitrine couture</t>
        </is>
      </c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8" t="inlineStr">
        <is>
          <t>Version</t>
        </is>
      </c>
      <c r="B4" s="39" t="inlineStr">
        <is>
          <t>Version finale avant administration</t>
        </is>
      </c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8" t="inlineStr">
        <is>
          <t>Statut</t>
        </is>
      </c>
      <c r="B5" s="39" t="inlineStr">
        <is>
          <t>Site terminé / recette client</t>
        </is>
      </c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8" t="inlineStr">
        <is>
          <t>URL de recette</t>
        </is>
      </c>
      <c r="B6" s="39" t="inlineStr">
        <is>
          <t>http://178.105.180.143:8082/index.html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8" t="inlineStr">
        <is>
          <t>Dépôt de travail</t>
        </is>
      </c>
      <c r="B7" s="39" t="inlineStr">
        <is>
          <t>https://github.com/hichama-collab/fatystyle</t>
        </is>
      </c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8" t="inlineStr">
        <is>
          <t>Périmètre</t>
        </is>
      </c>
      <c r="B8" s="39" t="inlineStr">
        <is>
          <t>Site public uniquement ; administration prévue en phase 2</t>
        </is>
      </c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8" t="inlineStr">
        <is>
          <t>Charge totale consolidée</t>
        </is>
      </c>
      <c r="B9" s="39" t="n">
        <v>435</v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8" t="inlineStr">
        <is>
          <t>Unité</t>
        </is>
      </c>
      <c r="B10" s="39" t="inlineStr">
        <is>
          <t>heures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40" t="inlineStr">
        <is>
          <t>Indicateur</t>
        </is>
      </c>
      <c r="B12" s="40" t="inlineStr">
        <is>
          <t>Valeur</t>
        </is>
      </c>
      <c r="C12" s="40" t="inlineStr">
        <is>
          <t>Formule / lecture</t>
        </is>
      </c>
      <c r="D12" s="40" t="inlineStr">
        <is>
          <t>Observation</t>
        </is>
      </c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inlineStr">
        <is>
          <t>Nombre de lots</t>
        </is>
      </c>
      <c r="B13" s="37" t="n">
        <v>10</v>
      </c>
      <c r="C13" s="37" t="str"/>
      <c r="D13" s="37" t="inlineStr">
        <is>
          <t>10 lots structurants</t>
        </is>
      </c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inlineStr">
        <is>
          <t>Nombre de tâches</t>
        </is>
      </c>
      <c r="B14" s="37" t="n">
        <v>56</v>
      </c>
      <c r="C14" s="37" t="str"/>
      <c r="D14" s="37" t="inlineStr">
        <is>
          <t>Détail exploitable pour suivi et justification</t>
        </is>
      </c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inlineStr">
        <is>
          <t>Charge totale</t>
        </is>
      </c>
      <c r="B15" s="37" t="n">
        <v>435</v>
      </c>
      <c r="C15" s="37">
        <f>SUM('Détail charges'!G2:G57)</f>
        <v/>
      </c>
      <c r="D15" s="37" t="inlineStr">
        <is>
          <t>Total demandé</t>
        </is>
      </c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inlineStr">
        <is>
          <t>Part développement pages</t>
        </is>
      </c>
      <c r="B16" s="37" t="n">
        <v>80</v>
      </c>
      <c r="C16" s="37" t="str"/>
      <c r="D16" s="37" t="inlineStr">
        <is>
          <t>Pages publiques</t>
        </is>
      </c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inlineStr">
        <is>
          <t>Part qualité / recette</t>
        </is>
      </c>
      <c r="B17" s="37" t="n">
        <v>50</v>
      </c>
      <c r="C17" s="37" t="str"/>
      <c r="D17" s="37" t="inlineStr">
        <is>
          <t>Tests, retours et stabilisation</t>
        </is>
      </c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inlineStr">
        <is>
          <t>Préparation admin future</t>
        </is>
      </c>
      <c r="B18" s="37" t="n">
        <v>30</v>
      </c>
      <c r="C18" s="37" t="str"/>
      <c r="D18" s="37" t="inlineStr">
        <is>
          <t>Sans développer l'admin maintenant</t>
        </is>
      </c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41" t="inlineStr">
        <is>
          <t>Taux horaire HT à renseigner</t>
        </is>
      </c>
      <c r="B20" s="56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41" t="inlineStr">
        <is>
          <t>Montant HT</t>
        </is>
      </c>
      <c r="B21" s="56">
        <f>IF(B20="","",B20*B15)</f>
        <v/>
      </c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41" t="inlineStr">
        <is>
          <t>TVA</t>
        </is>
      </c>
      <c r="B22" s="57" t="n">
        <v>0.2</v>
      </c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41" t="inlineStr">
        <is>
          <t>Montant TTC</t>
        </is>
      </c>
      <c r="B23" s="56">
        <f>IF(B21="","",B21*(1+B22))</f>
        <v/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41" t="inlineStr">
        <is>
          <t>Remarque</t>
        </is>
      </c>
      <c r="B24" s="37" t="inlineStr">
        <is>
          <t>Le fichier valorise principalement la charge en heures. Le taux peut être renseigné selon le devis commercial.</t>
        </is>
      </c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40" t="inlineStr">
        <is>
          <t>Lot</t>
        </is>
      </c>
      <c r="B26" s="40" t="inlineStr">
        <is>
          <t>Heures</t>
        </is>
      </c>
      <c r="C26" s="40" t="inlineStr">
        <is>
          <t>% du total</t>
        </is>
      </c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inlineStr">
        <is>
          <t>1. Cadrage &amp; conception</t>
        </is>
      </c>
      <c r="B27" s="37" t="n">
        <v>35</v>
      </c>
      <c r="C27" s="58" t="n">
        <v>0.08045977011494253</v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inlineStr">
        <is>
          <t>2. UX/UI &amp; identité visuelle</t>
        </is>
      </c>
      <c r="B28" s="37" t="n">
        <v>50</v>
      </c>
      <c r="C28" s="58" t="n">
        <v>0.1149425287356322</v>
      </c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inlineStr">
        <is>
          <t>3. Architecture &amp; socle technique</t>
        </is>
      </c>
      <c r="B29" s="37" t="n">
        <v>40</v>
      </c>
      <c r="C29" s="58" t="n">
        <v>0.09195402298850575</v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inlineStr">
        <is>
          <t>4. Développement des pages</t>
        </is>
      </c>
      <c r="B30" s="37" t="n">
        <v>80</v>
      </c>
      <c r="C30" s="58" t="n">
        <v>0.1839080459770115</v>
      </c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inlineStr">
        <is>
          <t>5. Galeries, médias &amp; contenus</t>
        </is>
      </c>
      <c r="B31" s="37" t="n">
        <v>45</v>
      </c>
      <c r="C31" s="58" t="n">
        <v>0.103448275862069</v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inlineStr">
        <is>
          <t>6. Responsive &amp; accessibilité</t>
        </is>
      </c>
      <c r="B32" s="37" t="n">
        <v>35</v>
      </c>
      <c r="C32" s="58" t="n">
        <v>0.08045977011494253</v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inlineStr">
        <is>
          <t>7. SEO, performance &amp; sécurité</t>
        </is>
      </c>
      <c r="B33" s="37" t="n">
        <v>45</v>
      </c>
      <c r="C33" s="58" t="n">
        <v>0.103448275862069</v>
      </c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inlineStr">
        <is>
          <t>8. Tests, recette &amp; corrections</t>
        </is>
      </c>
      <c r="B34" s="37" t="n">
        <v>50</v>
      </c>
      <c r="C34" s="58" t="n">
        <v>0.1149425287356322</v>
      </c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inlineStr">
        <is>
          <t>9. Documentation &amp; livraison</t>
        </is>
      </c>
      <c r="B35" s="37" t="n">
        <v>25</v>
      </c>
      <c r="C35" s="58" t="n">
        <v>0.05747126436781609</v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inlineStr">
        <is>
          <t>10. Préparation de l'administration future</t>
        </is>
      </c>
      <c r="B36" s="37" t="n">
        <v>30</v>
      </c>
      <c r="C36" s="58" t="n">
        <v>0.06896551724137931</v>
      </c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2">
      <c r="A202" t="inlineStr">
        <is>
          <t>Estimation administration mise à jour</t>
        </is>
      </c>
    </row>
    <row r="203">
      <c r="A203" t="inlineStr">
        <is>
          <t>Analyse fonctionnelle</t>
        </is>
      </c>
      <c r="B203" t="n">
        <v>12</v>
      </c>
    </row>
    <row r="204">
      <c r="A204" t="inlineStr">
        <is>
          <t>Architecture</t>
        </is>
      </c>
      <c r="B204" t="n">
        <v>14</v>
      </c>
    </row>
    <row r="205">
      <c r="A205" t="inlineStr">
        <is>
          <t>BDD</t>
        </is>
      </c>
      <c r="B205" t="n">
        <v>8</v>
      </c>
    </row>
    <row r="206">
      <c r="A206" t="inlineStr">
        <is>
          <t>Sécurité et authentification</t>
        </is>
      </c>
      <c r="B206" t="n">
        <v>20</v>
      </c>
    </row>
    <row r="207">
      <c r="A207" t="inlineStr">
        <is>
          <t>Tableau de bord</t>
        </is>
      </c>
      <c r="B207" t="n">
        <v>10</v>
      </c>
    </row>
    <row r="208">
      <c r="A208" t="inlineStr">
        <is>
          <t>Gestion des pages</t>
        </is>
      </c>
      <c r="B208" t="n">
        <v>28</v>
      </c>
    </row>
    <row r="209">
      <c r="A209" t="inlineStr">
        <is>
          <t>Constructeur de pages</t>
        </is>
      </c>
      <c r="B209" t="n">
        <v>18</v>
      </c>
    </row>
    <row r="210">
      <c r="A210" t="inlineStr">
        <is>
          <t>Contenus globaux</t>
        </is>
      </c>
      <c r="B210" t="n">
        <v>10</v>
      </c>
    </row>
    <row r="211">
      <c r="A211" t="inlineStr">
        <is>
          <t>Prestations/Catégories</t>
        </is>
      </c>
      <c r="B211" t="n">
        <v>18</v>
      </c>
    </row>
    <row r="212">
      <c r="A212" t="inlineStr">
        <is>
          <t>Médiathèque avancée</t>
        </is>
      </c>
      <c r="B212" t="n">
        <v>38</v>
      </c>
    </row>
    <row r="213">
      <c r="A213" t="inlineStr">
        <is>
          <t>SEO</t>
        </is>
      </c>
      <c r="B213" t="n">
        <v>12</v>
      </c>
    </row>
    <row r="214">
      <c r="A214" t="inlineStr">
        <is>
          <t>Formulaires</t>
        </is>
      </c>
      <c r="B214" t="n">
        <v>18</v>
      </c>
    </row>
    <row r="215">
      <c r="A215" t="inlineStr">
        <is>
          <t>Workflow publication</t>
        </is>
      </c>
      <c r="B215" t="n">
        <v>18</v>
      </c>
    </row>
    <row r="216">
      <c r="A216" t="inlineStr">
        <is>
          <t>Versions/Corbeille</t>
        </is>
      </c>
      <c r="B216" t="n">
        <v>16</v>
      </c>
    </row>
    <row r="217">
      <c r="A217" t="inlineStr">
        <is>
          <t>Recherche</t>
        </is>
      </c>
      <c r="B217" t="n">
        <v>8</v>
      </c>
    </row>
    <row r="218">
      <c r="A218" t="inlineStr">
        <is>
          <t>RGPD/Audit</t>
        </is>
      </c>
      <c r="B218" t="n">
        <v>10</v>
      </c>
    </row>
    <row r="219">
      <c r="A219" t="inlineStr">
        <is>
          <t>Sauvegardes</t>
        </is>
      </c>
      <c r="B219" t="n">
        <v>12</v>
      </c>
    </row>
    <row r="220">
      <c r="A220" t="inlineStr">
        <is>
          <t>Performance</t>
        </is>
      </c>
      <c r="B220" t="n">
        <v>8</v>
      </c>
    </row>
    <row r="221">
      <c r="A221" t="inlineStr">
        <is>
          <t>Multilingue</t>
        </is>
      </c>
      <c r="B221" t="n">
        <v>6</v>
      </c>
    </row>
    <row r="222">
      <c r="A222" t="inlineStr">
        <is>
          <t>Migration</t>
        </is>
      </c>
      <c r="B222" t="n">
        <v>14</v>
      </c>
    </row>
    <row r="223">
      <c r="A223" t="inlineStr">
        <is>
          <t>Tests</t>
        </is>
      </c>
      <c r="B223" t="n">
        <v>20</v>
      </c>
    </row>
    <row r="224">
      <c r="A224" t="inlineStr">
        <is>
          <t>Documentation</t>
        </is>
      </c>
      <c r="B224" t="n">
        <v>18</v>
      </c>
    </row>
    <row r="225">
      <c r="A225" t="inlineStr">
        <is>
          <t>Mise en production</t>
        </is>
      </c>
      <c r="B225" t="n">
        <v>-26</v>
      </c>
    </row>
    <row r="226">
      <c r="A226" t="inlineStr">
        <is>
          <t>TOTAL Administration</t>
        </is>
      </c>
      <c r="B226" t="n">
        <v>310</v>
      </c>
    </row>
  </sheetData>
  <mergeCells count="1">
    <mergeCell ref="A1:H1"/>
  </mergeCells>
  <conditionalFormatting sqref="B27:B36">
    <cfRule type="dataBar" priority="1">
      <dataBar>
        <cfvo type="min"/>
        <cfvo type="max"/>
        <color rgb="FFE91E63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60" customWidth="1" min="4" max="4"/>
    <col width="15" customWidth="1" min="5" max="5"/>
    <col width="14" customWidth="1" min="6" max="6"/>
    <col width="14" customWidth="1" min="7" max="7"/>
  </cols>
  <sheetData>
    <row r="1">
      <c r="A1" s="40" t="inlineStr">
        <is>
          <t>Lot</t>
        </is>
      </c>
      <c r="B1" s="40" t="inlineStr">
        <is>
          <t>ID</t>
        </is>
      </c>
      <c r="C1" s="40" t="inlineStr">
        <is>
          <t>Tâche</t>
        </is>
      </c>
      <c r="D1" s="40" t="inlineStr">
        <is>
          <t>Description détaillée</t>
        </is>
      </c>
      <c r="E1" s="40" t="inlineStr">
        <is>
          <t>Complexité</t>
        </is>
      </c>
      <c r="F1" s="40" t="inlineStr">
        <is>
          <t>Statut</t>
        </is>
      </c>
      <c r="G1" s="40" t="inlineStr">
        <is>
          <t>Heures prévues</t>
        </is>
      </c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9" t="inlineStr">
        <is>
          <t>1. Cadrage &amp; conception</t>
        </is>
      </c>
      <c r="B2" s="37" t="inlineStr">
        <is>
          <t>FS-001</t>
        </is>
      </c>
      <c r="C2" s="39" t="inlineStr">
        <is>
          <t>Analyse du besoin métier</t>
        </is>
      </c>
      <c r="D2" s="39" t="inlineStr">
        <is>
          <t>Analyse de l'activité, des cibles particuliers/professionnels, des services et des attentes client.</t>
        </is>
      </c>
      <c r="E2" s="37" t="inlineStr">
        <is>
          <t>Élevée</t>
        </is>
      </c>
      <c r="F2" s="37" t="inlineStr">
        <is>
          <t>Terminé</t>
        </is>
      </c>
      <c r="G2" s="59" t="n">
        <v>8</v>
      </c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9" t="inlineStr">
        <is>
          <t>1. Cadrage &amp; conception</t>
        </is>
      </c>
      <c r="B3" s="37" t="inlineStr">
        <is>
          <t>FS-002</t>
        </is>
      </c>
      <c r="C3" s="39" t="inlineStr">
        <is>
          <t>Audit de l'ancien site</t>
        </is>
      </c>
      <c r="D3" s="39" t="inlineStr">
        <is>
          <t>Revue fonctionnelle, contenus, photos, arborescence, points à conserver et éléments à supprimer.</t>
        </is>
      </c>
      <c r="E3" s="37" t="inlineStr">
        <is>
          <t>Moyenne</t>
        </is>
      </c>
      <c r="F3" s="37" t="inlineStr">
        <is>
          <t>Terminé</t>
        </is>
      </c>
      <c r="G3" s="59" t="n">
        <v>7</v>
      </c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9" t="inlineStr">
        <is>
          <t>1. Cadrage &amp; conception</t>
        </is>
      </c>
      <c r="B4" s="37" t="inlineStr">
        <is>
          <t>FS-003</t>
        </is>
      </c>
      <c r="C4" s="39" t="inlineStr">
        <is>
          <t>Définition du périmètre</t>
        </is>
      </c>
      <c r="D4" s="39" t="inlineStr">
        <is>
          <t>Définition des pages, parcours, CTA, galeries, contact et contraintes de livraison.</t>
        </is>
      </c>
      <c r="E4" s="37" t="inlineStr">
        <is>
          <t>Élevée</t>
        </is>
      </c>
      <c r="F4" s="37" t="inlineStr">
        <is>
          <t>Terminé</t>
        </is>
      </c>
      <c r="G4" s="59" t="n">
        <v>6</v>
      </c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9" t="inlineStr">
        <is>
          <t>1. Cadrage &amp; conception</t>
        </is>
      </c>
      <c r="B5" s="37" t="inlineStr">
        <is>
          <t>FS-004</t>
        </is>
      </c>
      <c r="C5" s="39" t="inlineStr">
        <is>
          <t>Arborescence fonctionnelle</t>
        </is>
      </c>
      <c r="D5" s="39" t="inlineStr">
        <is>
          <t>Structuration finale : Accueil, Présentation, Créations, Professionnels, Contact.</t>
        </is>
      </c>
      <c r="E5" s="37" t="inlineStr">
        <is>
          <t>Moyenne</t>
        </is>
      </c>
      <c r="F5" s="37" t="inlineStr">
        <is>
          <t>Terminé</t>
        </is>
      </c>
      <c r="G5" s="59" t="n">
        <v>6</v>
      </c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9" t="inlineStr">
        <is>
          <t>1. Cadrage &amp; conception</t>
        </is>
      </c>
      <c r="B6" s="37" t="inlineStr">
        <is>
          <t>FS-005</t>
        </is>
      </c>
      <c r="C6" s="39" t="inlineStr">
        <is>
          <t>Stratégie de contenu</t>
        </is>
      </c>
      <c r="D6" s="39" t="inlineStr">
        <is>
          <t>Répartition des contenus sans redondance, hiérarchie des informations et cohérence éditoriale.</t>
        </is>
      </c>
      <c r="E6" s="37" t="inlineStr">
        <is>
          <t>Élevée</t>
        </is>
      </c>
      <c r="F6" s="37" t="inlineStr">
        <is>
          <t>Terminé</t>
        </is>
      </c>
      <c r="G6" s="59" t="n">
        <v>8</v>
      </c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9" t="inlineStr">
        <is>
          <t>2. UX/UI &amp; identité visuelle</t>
        </is>
      </c>
      <c r="B7" s="37" t="inlineStr">
        <is>
          <t>FS-006</t>
        </is>
      </c>
      <c r="C7" s="39" t="inlineStr">
        <is>
          <t>Recherche de direction artistique</t>
        </is>
      </c>
      <c r="D7" s="39" t="inlineStr">
        <is>
          <t>Sélection d'une nouvelle base visuelle adaptée à la couture et abandon de l'ancien rendu.</t>
        </is>
      </c>
      <c r="E7" s="37" t="inlineStr">
        <is>
          <t>Élevée</t>
        </is>
      </c>
      <c r="F7" s="37" t="inlineStr">
        <is>
          <t>Terminé</t>
        </is>
      </c>
      <c r="G7" s="59" t="n">
        <v>8</v>
      </c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9" t="inlineStr">
        <is>
          <t>2. UX/UI &amp; identité visuelle</t>
        </is>
      </c>
      <c r="B8" s="37" t="inlineStr">
        <is>
          <t>FS-007</t>
        </is>
      </c>
      <c r="C8" s="39" t="inlineStr">
        <is>
          <t>Adaptation du template</t>
        </is>
      </c>
      <c r="D8" s="39" t="inlineStr">
        <is>
          <t>Transformation complète du template pour supprimer toute référence métier non pertinente.</t>
        </is>
      </c>
      <c r="E8" s="37" t="inlineStr">
        <is>
          <t>Très élevée</t>
        </is>
      </c>
      <c r="F8" s="37" t="inlineStr">
        <is>
          <t>Terminé</t>
        </is>
      </c>
      <c r="G8" s="59" t="n">
        <v>12</v>
      </c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9" t="inlineStr">
        <is>
          <t>2. UX/UI &amp; identité visuelle</t>
        </is>
      </c>
      <c r="B9" s="37" t="inlineStr">
        <is>
          <t>FS-008</t>
        </is>
      </c>
      <c r="C9" s="39" t="inlineStr">
        <is>
          <t>Charte graphique</t>
        </is>
      </c>
      <c r="D9" s="39" t="inlineStr">
        <is>
          <t>Palette, typographies, boutons, cartes, ombres, rayons, espacements et règles communes.</t>
        </is>
      </c>
      <c r="E9" s="37" t="inlineStr">
        <is>
          <t>Élevée</t>
        </is>
      </c>
      <c r="F9" s="37" t="inlineStr">
        <is>
          <t>Terminé</t>
        </is>
      </c>
      <c r="G9" s="59" t="n">
        <v>8</v>
      </c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9" t="inlineStr">
        <is>
          <t>2. UX/UI &amp; identité visuelle</t>
        </is>
      </c>
      <c r="B10" s="37" t="inlineStr">
        <is>
          <t>FS-009</t>
        </is>
      </c>
      <c r="C10" s="39" t="inlineStr">
        <is>
          <t>Design desktop</t>
        </is>
      </c>
      <c r="D10" s="39" t="inlineStr">
        <is>
          <t>Conception et ajustement des écrans principaux sur desktop/laptop.</t>
        </is>
      </c>
      <c r="E10" s="37" t="inlineStr">
        <is>
          <t>Élevée</t>
        </is>
      </c>
      <c r="F10" s="37" t="inlineStr">
        <is>
          <t>Terminé</t>
        </is>
      </c>
      <c r="G10" s="59" t="n">
        <v>10</v>
      </c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9" t="inlineStr">
        <is>
          <t>2. UX/UI &amp; identité visuelle</t>
        </is>
      </c>
      <c r="B11" s="37" t="inlineStr">
        <is>
          <t>FS-010</t>
        </is>
      </c>
      <c r="C11" s="39" t="inlineStr">
        <is>
          <t>Design mobile</t>
        </is>
      </c>
      <c r="D11" s="39" t="inlineStr">
        <is>
          <t>Adaptation des composants, navigation, galeries et CTA pour mobile.</t>
        </is>
      </c>
      <c r="E11" s="37" t="inlineStr">
        <is>
          <t>Élevée</t>
        </is>
      </c>
      <c r="F11" s="37" t="inlineStr">
        <is>
          <t>Terminé</t>
        </is>
      </c>
      <c r="G11" s="59" t="n">
        <v>8</v>
      </c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9" t="inlineStr">
        <is>
          <t>2. UX/UI &amp; identité visuelle</t>
        </is>
      </c>
      <c r="B12" s="37" t="inlineStr">
        <is>
          <t>FS-011</t>
        </is>
      </c>
      <c r="C12" s="39" t="inlineStr">
        <is>
          <t>Intégration du label Maître Artisan</t>
        </is>
      </c>
      <c r="D12" s="39" t="inlineStr">
        <is>
          <t>Intégration du logo officiel et mise en valeur cohérente sur les pages concernées.</t>
        </is>
      </c>
      <c r="E12" s="37" t="inlineStr">
        <is>
          <t>Moyenne</t>
        </is>
      </c>
      <c r="F12" s="37" t="inlineStr">
        <is>
          <t>Terminé</t>
        </is>
      </c>
      <c r="G12" s="59" t="n">
        <v>4</v>
      </c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9" t="inlineStr">
        <is>
          <t>3. Architecture &amp; socle technique</t>
        </is>
      </c>
      <c r="B13" s="37" t="inlineStr">
        <is>
          <t>FS-012</t>
        </is>
      </c>
      <c r="C13" s="39" t="inlineStr">
        <is>
          <t>Création du dépôt dédié</t>
        </is>
      </c>
      <c r="D13" s="39" t="inlineStr">
        <is>
          <t>Séparation du projet Ma Vitrine et mise en place d'un dépôt autonome.</t>
        </is>
      </c>
      <c r="E13" s="37" t="inlineStr">
        <is>
          <t>Moyenne</t>
        </is>
      </c>
      <c r="F13" s="37" t="inlineStr">
        <is>
          <t>Terminé</t>
        </is>
      </c>
      <c r="G13" s="59" t="n">
        <v>5</v>
      </c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9" t="inlineStr">
        <is>
          <t>3. Architecture &amp; socle technique</t>
        </is>
      </c>
      <c r="B14" s="37" t="inlineStr">
        <is>
          <t>FS-013</t>
        </is>
      </c>
      <c r="C14" s="39" t="inlineStr">
        <is>
          <t>Architecture des dossiers</t>
        </is>
      </c>
      <c r="D14" s="39" t="inlineStr">
        <is>
          <t>Organisation des pages, CSS, JavaScript, images, icônes, données et documentation.</t>
        </is>
      </c>
      <c r="E14" s="37" t="inlineStr">
        <is>
          <t>Élevée</t>
        </is>
      </c>
      <c r="F14" s="37" t="inlineStr">
        <is>
          <t>Terminé</t>
        </is>
      </c>
      <c r="G14" s="59" t="n">
        <v>8</v>
      </c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9" t="inlineStr">
        <is>
          <t>3. Architecture &amp; socle technique</t>
        </is>
      </c>
      <c r="B15" s="37" t="inlineStr">
        <is>
          <t>FS-014</t>
        </is>
      </c>
      <c r="C15" s="39" t="inlineStr">
        <is>
          <t>Nettoyage des dépendances</t>
        </is>
      </c>
      <c r="D15" s="39" t="inlineStr">
        <is>
          <t>Suppression des fichiers, scripts, styles et médias hérités non utilisés.</t>
        </is>
      </c>
      <c r="E15" s="37" t="inlineStr">
        <is>
          <t>Élevée</t>
        </is>
      </c>
      <c r="F15" s="37" t="inlineStr">
        <is>
          <t>Terminé</t>
        </is>
      </c>
      <c r="G15" s="59" t="n">
        <v>7</v>
      </c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9" t="inlineStr">
        <is>
          <t>3. Architecture &amp; socle technique</t>
        </is>
      </c>
      <c r="B16" s="37" t="inlineStr">
        <is>
          <t>FS-015</t>
        </is>
      </c>
      <c r="C16" s="39" t="inlineStr">
        <is>
          <t>Composants communs</t>
        </is>
      </c>
      <c r="D16" s="39" t="inlineStr">
        <is>
          <t>Header, navigation, footer, CTA, boutons sociaux et bouton WhatsApp global.</t>
        </is>
      </c>
      <c r="E16" s="37" t="inlineStr">
        <is>
          <t>Élevée</t>
        </is>
      </c>
      <c r="F16" s="37" t="inlineStr">
        <is>
          <t>Terminé</t>
        </is>
      </c>
      <c r="G16" s="59" t="n">
        <v>10</v>
      </c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9" t="inlineStr">
        <is>
          <t>3. Architecture &amp; socle technique</t>
        </is>
      </c>
      <c r="B17" s="37" t="inlineStr">
        <is>
          <t>FS-016</t>
        </is>
      </c>
      <c r="C17" s="39" t="inlineStr">
        <is>
          <t>Structure content.json</t>
        </is>
      </c>
      <c r="D17" s="39" t="inlineStr">
        <is>
          <t>Préparation des données structurées pour la future administration.</t>
        </is>
      </c>
      <c r="E17" s="37" t="inlineStr">
        <is>
          <t>Élevée</t>
        </is>
      </c>
      <c r="F17" s="37" t="inlineStr">
        <is>
          <t>Terminé</t>
        </is>
      </c>
      <c r="G17" s="59" t="n">
        <v>6</v>
      </c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9" t="inlineStr">
        <is>
          <t>3. Architecture &amp; socle technique</t>
        </is>
      </c>
      <c r="B18" s="37" t="inlineStr">
        <is>
          <t>FS-017</t>
        </is>
      </c>
      <c r="C18" s="39" t="inlineStr">
        <is>
          <t>Déploiement VPS autonome</t>
        </is>
      </c>
      <c r="D18" s="39" t="inlineStr">
        <is>
          <t>Configuration et validation du site sur un port dédié séparé de Ma Vitrine.</t>
        </is>
      </c>
      <c r="E18" s="37" t="inlineStr">
        <is>
          <t>Moyenne</t>
        </is>
      </c>
      <c r="F18" s="37" t="inlineStr">
        <is>
          <t>Terminé</t>
        </is>
      </c>
      <c r="G18" s="59" t="n">
        <v>4</v>
      </c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9" t="inlineStr">
        <is>
          <t>4. Développement des pages</t>
        </is>
      </c>
      <c r="B19" s="37" t="inlineStr">
        <is>
          <t>FS-018</t>
        </is>
      </c>
      <c r="C19" s="39" t="inlineStr">
        <is>
          <t>Page Accueil</t>
        </is>
      </c>
      <c r="D19" s="39" t="inlineStr">
        <is>
          <t>Hero, proposition de valeur, univers, à propos, preuve de confiance, CTA et liens sociaux.</t>
        </is>
      </c>
      <c r="E19" s="37" t="inlineStr">
        <is>
          <t>Très élevée</t>
        </is>
      </c>
      <c r="F19" s="37" t="inlineStr">
        <is>
          <t>Terminé</t>
        </is>
      </c>
      <c r="G19" s="59" t="n">
        <v>18</v>
      </c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9" t="inlineStr">
        <is>
          <t>4. Développement des pages</t>
        </is>
      </c>
      <c r="B20" s="37" t="inlineStr">
        <is>
          <t>FS-019</t>
        </is>
      </c>
      <c r="C20" s="39" t="inlineStr">
        <is>
          <t>Page Présentation</t>
        </is>
      </c>
      <c r="D20" s="39" t="inlineStr">
        <is>
          <t>Histoire de l'atelier, contenus validés, label, chiffres et blocs de confiance.</t>
        </is>
      </c>
      <c r="E20" s="37" t="inlineStr">
        <is>
          <t>Très élevée</t>
        </is>
      </c>
      <c r="F20" s="37" t="inlineStr">
        <is>
          <t>Terminé</t>
        </is>
      </c>
      <c r="G20" s="59" t="n">
        <v>16</v>
      </c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9" t="inlineStr">
        <is>
          <t>4. Développement des pages</t>
        </is>
      </c>
      <c r="B21" s="37" t="inlineStr">
        <is>
          <t>FS-020</t>
        </is>
      </c>
      <c r="C21" s="39" t="inlineStr">
        <is>
          <t>Page Créations</t>
        </is>
      </c>
      <c r="D21" s="39" t="inlineStr">
        <is>
          <t>Univers, catégories, filtres, galeries et navigation entre médias.</t>
        </is>
      </c>
      <c r="E21" s="37" t="inlineStr">
        <is>
          <t>Très élevée</t>
        </is>
      </c>
      <c r="F21" s="37" t="inlineStr">
        <is>
          <t>Terminé</t>
        </is>
      </c>
      <c r="G21" s="59" t="n">
        <v>20</v>
      </c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9" t="inlineStr">
        <is>
          <t>4. Développement des pages</t>
        </is>
      </c>
      <c r="B22" s="37" t="inlineStr">
        <is>
          <t>FS-021</t>
        </is>
      </c>
      <c r="C22" s="39" t="inlineStr">
        <is>
          <t>Page Professionnels</t>
        </is>
      </c>
      <c r="D22" s="39" t="inlineStr">
        <is>
          <t>Ambiance B2B distincte, expertise, patronage, prototypes, gradation et production.</t>
        </is>
      </c>
      <c r="E22" s="37" t="inlineStr">
        <is>
          <t>Très élevée</t>
        </is>
      </c>
      <c r="F22" s="37" t="inlineStr">
        <is>
          <t>Terminé</t>
        </is>
      </c>
      <c r="G22" s="59" t="n">
        <v>16</v>
      </c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9" t="inlineStr">
        <is>
          <t>4. Développement des pages</t>
        </is>
      </c>
      <c r="B23" s="37" t="inlineStr">
        <is>
          <t>FS-022</t>
        </is>
      </c>
      <c r="C23" s="39" t="inlineStr">
        <is>
          <t>Page Contact</t>
        </is>
      </c>
      <c r="D23" s="39" t="inlineStr">
        <is>
          <t>Coordonnées, formulaire, carte, réseaux sociaux, réassurance et CTA.</t>
        </is>
      </c>
      <c r="E23" s="37" t="inlineStr">
        <is>
          <t>Élevée</t>
        </is>
      </c>
      <c r="F23" s="37" t="inlineStr">
        <is>
          <t>Terminé</t>
        </is>
      </c>
      <c r="G23" s="59" t="n">
        <v>10</v>
      </c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9" t="inlineStr">
        <is>
          <t>5. Galeries, médias &amp; contenus</t>
        </is>
      </c>
      <c r="B24" s="37" t="inlineStr">
        <is>
          <t>FS-023</t>
        </is>
      </c>
      <c r="C24" s="39" t="inlineStr">
        <is>
          <t>Inventaire des médias</t>
        </is>
      </c>
      <c r="D24" s="39" t="inlineStr">
        <is>
          <t>Recensement, tri et classement des photos existantes et nouvelles.</t>
        </is>
      </c>
      <c r="E24" s="37" t="inlineStr">
        <is>
          <t>Élevée</t>
        </is>
      </c>
      <c r="F24" s="37" t="inlineStr">
        <is>
          <t>Terminé</t>
        </is>
      </c>
      <c r="G24" s="59" t="n">
        <v>8</v>
      </c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9" t="inlineStr">
        <is>
          <t>5. Galeries, médias &amp; contenus</t>
        </is>
      </c>
      <c r="B25" s="37" t="inlineStr">
        <is>
          <t>FS-024</t>
        </is>
      </c>
      <c r="C25" s="39" t="inlineStr">
        <is>
          <t>Organisation par catégories</t>
        </is>
      </c>
      <c r="D25" s="39" t="inlineStr">
        <is>
          <t>Classement des images par univers avec nommage et ordre d'affichage.</t>
        </is>
      </c>
      <c r="E25" s="37" t="inlineStr">
        <is>
          <t>Élevée</t>
        </is>
      </c>
      <c r="F25" s="37" t="inlineStr">
        <is>
          <t>Terminé</t>
        </is>
      </c>
      <c r="G25" s="59" t="n">
        <v>8</v>
      </c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9" t="inlineStr">
        <is>
          <t>5. Galeries, médias &amp; contenus</t>
        </is>
      </c>
      <c r="B26" s="37" t="inlineStr">
        <is>
          <t>FS-025</t>
        </is>
      </c>
      <c r="C26" s="39" t="inlineStr">
        <is>
          <t>Optimisation des images</t>
        </is>
      </c>
      <c r="D26" s="39" t="inlineStr">
        <is>
          <t>Compression, conversion, redimensionnement et contrôle qualité visuel.</t>
        </is>
      </c>
      <c r="E26" s="37" t="inlineStr">
        <is>
          <t>Élevée</t>
        </is>
      </c>
      <c r="F26" s="37" t="inlineStr">
        <is>
          <t>Terminé</t>
        </is>
      </c>
      <c r="G26" s="59" t="n">
        <v>10</v>
      </c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9" t="inlineStr">
        <is>
          <t>5. Galeries, médias &amp; contenus</t>
        </is>
      </c>
      <c r="B27" s="37" t="inlineStr">
        <is>
          <t>FS-026</t>
        </is>
      </c>
      <c r="C27" s="39" t="inlineStr">
        <is>
          <t>Lightbox et navigation</t>
        </is>
      </c>
      <c r="D27" s="39" t="inlineStr">
        <is>
          <t>Ouverture, fermeture, précédent/suivant, clavier, tactile et regroupement par catégorie.</t>
        </is>
      </c>
      <c r="E27" s="37" t="inlineStr">
        <is>
          <t>Très élevée</t>
        </is>
      </c>
      <c r="F27" s="37" t="inlineStr">
        <is>
          <t>Terminé</t>
        </is>
      </c>
      <c r="G27" s="59" t="n">
        <v>10</v>
      </c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9" t="inlineStr">
        <is>
          <t>5. Galeries, médias &amp; contenus</t>
        </is>
      </c>
      <c r="B28" s="37" t="inlineStr">
        <is>
          <t>FS-027</t>
        </is>
      </c>
      <c r="C28" s="39" t="inlineStr">
        <is>
          <t>Intégration des contenus validés</t>
        </is>
      </c>
      <c r="D28" s="39" t="inlineStr">
        <is>
          <t>Insertion fidèle des textes et contenus fournis par le client sans modification métier.</t>
        </is>
      </c>
      <c r="E28" s="37" t="inlineStr">
        <is>
          <t>Moyenne</t>
        </is>
      </c>
      <c r="F28" s="37" t="inlineStr">
        <is>
          <t>Terminé</t>
        </is>
      </c>
      <c r="G28" s="59" t="n">
        <v>9</v>
      </c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9" t="inlineStr">
        <is>
          <t>6. Responsive &amp; accessibilité</t>
        </is>
      </c>
      <c r="B29" s="37" t="inlineStr">
        <is>
          <t>FS-028</t>
        </is>
      </c>
      <c r="C29" s="39" t="inlineStr">
        <is>
          <t>Responsive desktop/laptop</t>
        </is>
      </c>
      <c r="D29" s="39" t="inlineStr">
        <is>
          <t>Ajustements des largeurs, espacements, grilles et composants.</t>
        </is>
      </c>
      <c r="E29" s="37" t="inlineStr">
        <is>
          <t>Élevée</t>
        </is>
      </c>
      <c r="F29" s="37" t="inlineStr">
        <is>
          <t>Terminé</t>
        </is>
      </c>
      <c r="G29" s="59" t="n">
        <v>7</v>
      </c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9" t="inlineStr">
        <is>
          <t>6. Responsive &amp; accessibilité</t>
        </is>
      </c>
      <c r="B30" s="37" t="inlineStr">
        <is>
          <t>FS-029</t>
        </is>
      </c>
      <c r="C30" s="39" t="inlineStr">
        <is>
          <t>Responsive tablette</t>
        </is>
      </c>
      <c r="D30" s="39" t="inlineStr">
        <is>
          <t>Contrôle des points de rupture intermédiaires et corrections dédiées.</t>
        </is>
      </c>
      <c r="E30" s="37" t="inlineStr">
        <is>
          <t>Moyenne</t>
        </is>
      </c>
      <c r="F30" s="37" t="inlineStr">
        <is>
          <t>Terminé</t>
        </is>
      </c>
      <c r="G30" s="59" t="n">
        <v>5</v>
      </c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9" t="inlineStr">
        <is>
          <t>6. Responsive &amp; accessibilité</t>
        </is>
      </c>
      <c r="B31" s="37" t="inlineStr">
        <is>
          <t>FS-030</t>
        </is>
      </c>
      <c r="C31" s="39" t="inlineStr">
        <is>
          <t>Responsive mobile</t>
        </is>
      </c>
      <c r="D31" s="39" t="inlineStr">
        <is>
          <t>Menu burger, hero, cartes, galeries, footer, CTA et WhatsApp.</t>
        </is>
      </c>
      <c r="E31" s="37" t="inlineStr">
        <is>
          <t>Très élevée</t>
        </is>
      </c>
      <c r="F31" s="37" t="inlineStr">
        <is>
          <t>Terminé</t>
        </is>
      </c>
      <c r="G31" s="59" t="n">
        <v>10</v>
      </c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9" t="inlineStr">
        <is>
          <t>6. Responsive &amp; accessibilité</t>
        </is>
      </c>
      <c r="B32" s="37" t="inlineStr">
        <is>
          <t>FS-031</t>
        </is>
      </c>
      <c r="C32" s="39" t="inlineStr">
        <is>
          <t>Accessibilité de base</t>
        </is>
      </c>
      <c r="D32" s="39" t="inlineStr">
        <is>
          <t>Alt, aria-label, focus clavier, contraste, lisibilité et tailles de zones cliquables.</t>
        </is>
      </c>
      <c r="E32" s="37" t="inlineStr">
        <is>
          <t>Élevée</t>
        </is>
      </c>
      <c r="F32" s="37" t="inlineStr">
        <is>
          <t>Terminé</t>
        </is>
      </c>
      <c r="G32" s="59" t="n">
        <v>7</v>
      </c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9" t="inlineStr">
        <is>
          <t>6. Responsive &amp; accessibilité</t>
        </is>
      </c>
      <c r="B33" s="37" t="inlineStr">
        <is>
          <t>FS-032</t>
        </is>
      </c>
      <c r="C33" s="39" t="inlineStr">
        <is>
          <t>Compatibilité navigateurs</t>
        </is>
      </c>
      <c r="D33" s="39" t="inlineStr">
        <is>
          <t>Tests et corrections sur navigateurs desktop et mobile principaux.</t>
        </is>
      </c>
      <c r="E33" s="37" t="inlineStr">
        <is>
          <t>Moyenne</t>
        </is>
      </c>
      <c r="F33" s="37" t="inlineStr">
        <is>
          <t>Terminé</t>
        </is>
      </c>
      <c r="G33" s="59" t="n">
        <v>6</v>
      </c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9" t="inlineStr">
        <is>
          <t>7. SEO, performance &amp; sécurité</t>
        </is>
      </c>
      <c r="B34" s="37" t="inlineStr">
        <is>
          <t>FS-033</t>
        </is>
      </c>
      <c r="C34" s="39" t="inlineStr">
        <is>
          <t>SEO on-page</t>
        </is>
      </c>
      <c r="D34" s="39" t="inlineStr">
        <is>
          <t>Titles, meta descriptions, H1/H2/H3, alt, URLs et cohérence sémantique.</t>
        </is>
      </c>
      <c r="E34" s="37" t="inlineStr">
        <is>
          <t>Élevée</t>
        </is>
      </c>
      <c r="F34" s="37" t="inlineStr">
        <is>
          <t>Terminé</t>
        </is>
      </c>
      <c r="G34" s="59" t="n">
        <v>10</v>
      </c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9" t="inlineStr">
        <is>
          <t>7. SEO, performance &amp; sécurité</t>
        </is>
      </c>
      <c r="B35" s="37" t="inlineStr">
        <is>
          <t>FS-034</t>
        </is>
      </c>
      <c r="C35" s="39" t="inlineStr">
        <is>
          <t>SEO local</t>
        </is>
      </c>
      <c r="D35" s="39" t="inlineStr">
        <is>
          <t>Ciblage Limay/Yvelines, coordonnées, données locales et cohérence métier.</t>
        </is>
      </c>
      <c r="E35" s="37" t="inlineStr">
        <is>
          <t>Élevée</t>
        </is>
      </c>
      <c r="F35" s="37" t="inlineStr">
        <is>
          <t>Terminé</t>
        </is>
      </c>
      <c r="G35" s="59" t="n">
        <v>6</v>
      </c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9" t="inlineStr">
        <is>
          <t>7. SEO, performance &amp; sécurité</t>
        </is>
      </c>
      <c r="B36" s="37" t="inlineStr">
        <is>
          <t>FS-035</t>
        </is>
      </c>
      <c r="C36" s="39" t="inlineStr">
        <is>
          <t>Données structurées</t>
        </is>
      </c>
      <c r="D36" s="39" t="inlineStr">
        <is>
          <t>Schema.org LocalBusiness/ProfessionalService et informations sociales.</t>
        </is>
      </c>
      <c r="E36" s="37" t="inlineStr">
        <is>
          <t>Élevée</t>
        </is>
      </c>
      <c r="F36" s="37" t="inlineStr">
        <is>
          <t>Terminé</t>
        </is>
      </c>
      <c r="G36" s="59" t="n">
        <v>5</v>
      </c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9" t="inlineStr">
        <is>
          <t>7. SEO, performance &amp; sécurité</t>
        </is>
      </c>
      <c r="B37" s="37" t="inlineStr">
        <is>
          <t>FS-036</t>
        </is>
      </c>
      <c r="C37" s="39" t="inlineStr">
        <is>
          <t>Sitemap &amp; robots.txt</t>
        </is>
      </c>
      <c r="D37" s="39" t="inlineStr">
        <is>
          <t>Création, validation et contrôle des URLs indexables.</t>
        </is>
      </c>
      <c r="E37" s="37" t="inlineStr">
        <is>
          <t>Moyenne</t>
        </is>
      </c>
      <c r="F37" s="37" t="inlineStr">
        <is>
          <t>Terminé</t>
        </is>
      </c>
      <c r="G37" s="59" t="n">
        <v>4</v>
      </c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9" t="inlineStr">
        <is>
          <t>7. SEO, performance &amp; sécurité</t>
        </is>
      </c>
      <c r="B38" s="37" t="inlineStr">
        <is>
          <t>FS-037</t>
        </is>
      </c>
      <c r="C38" s="39" t="inlineStr">
        <is>
          <t>Performance front</t>
        </is>
      </c>
      <c r="D38" s="39" t="inlineStr">
        <is>
          <t>Lazy loading, defer, réduction des scripts bloquants et optimisation des assets.</t>
        </is>
      </c>
      <c r="E38" s="37" t="inlineStr">
        <is>
          <t>Très élevée</t>
        </is>
      </c>
      <c r="F38" s="37" t="inlineStr">
        <is>
          <t>Terminé</t>
        </is>
      </c>
      <c r="G38" s="59" t="n">
        <v>10</v>
      </c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9" t="inlineStr">
        <is>
          <t>7. SEO, performance &amp; sécurité</t>
        </is>
      </c>
      <c r="B39" s="37" t="inlineStr">
        <is>
          <t>FS-038</t>
        </is>
      </c>
      <c r="C39" s="39" t="inlineStr">
        <is>
          <t>Sécurité front</t>
        </is>
      </c>
      <c r="D39" s="39" t="inlineStr">
        <is>
          <t>Contrôle des liens externes, absence de secrets, chemins locaux et endpoints inutiles.</t>
        </is>
      </c>
      <c r="E39" s="37" t="inlineStr">
        <is>
          <t>Élevée</t>
        </is>
      </c>
      <c r="F39" s="37" t="inlineStr">
        <is>
          <t>Terminé</t>
        </is>
      </c>
      <c r="G39" s="59" t="n">
        <v>5</v>
      </c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9" t="inlineStr">
        <is>
          <t>7. SEO, performance &amp; sécurité</t>
        </is>
      </c>
      <c r="B40" s="37" t="inlineStr">
        <is>
          <t>FS-039</t>
        </is>
      </c>
      <c r="C40" s="39" t="inlineStr">
        <is>
          <t>Audit des traces du template</t>
        </is>
      </c>
      <c r="D40" s="39" t="inlineStr">
        <is>
          <t>Recherche et suppression des références restaurant, burger, food et contenus hérités.</t>
        </is>
      </c>
      <c r="E40" s="37" t="inlineStr">
        <is>
          <t>Élevée</t>
        </is>
      </c>
      <c r="F40" s="37" t="inlineStr">
        <is>
          <t>Terminé</t>
        </is>
      </c>
      <c r="G40" s="59" t="n">
        <v>5</v>
      </c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9" t="inlineStr">
        <is>
          <t>8. Tests, recette &amp; corrections</t>
        </is>
      </c>
      <c r="B41" s="37" t="inlineStr">
        <is>
          <t>FS-040</t>
        </is>
      </c>
      <c r="C41" s="39" t="inlineStr">
        <is>
          <t>Plan de tests fonctionnels</t>
        </is>
      </c>
      <c r="D41" s="39" t="inlineStr">
        <is>
          <t>Définition des scénarios de test par page, parcours et interaction.</t>
        </is>
      </c>
      <c r="E41" s="37" t="inlineStr">
        <is>
          <t>Élevée</t>
        </is>
      </c>
      <c r="F41" s="37" t="inlineStr">
        <is>
          <t>Terminé</t>
        </is>
      </c>
      <c r="G41" s="59" t="n">
        <v>7</v>
      </c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9" t="inlineStr">
        <is>
          <t>8. Tests, recette &amp; corrections</t>
        </is>
      </c>
      <c r="B42" s="37" t="inlineStr">
        <is>
          <t>FS-041</t>
        </is>
      </c>
      <c r="C42" s="39" t="inlineStr">
        <is>
          <t>Recette desktop</t>
        </is>
      </c>
      <c r="D42" s="39" t="inlineStr">
        <is>
          <t>Contrôle complet sur laptop et grands écrans.</t>
        </is>
      </c>
      <c r="E42" s="37" t="inlineStr">
        <is>
          <t>Élevée</t>
        </is>
      </c>
      <c r="F42" s="37" t="inlineStr">
        <is>
          <t>Terminé</t>
        </is>
      </c>
      <c r="G42" s="59" t="n">
        <v>8</v>
      </c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9" t="inlineStr">
        <is>
          <t>8. Tests, recette &amp; corrections</t>
        </is>
      </c>
      <c r="B43" s="37" t="inlineStr">
        <is>
          <t>FS-042</t>
        </is>
      </c>
      <c r="C43" s="39" t="inlineStr">
        <is>
          <t>Recette mobile</t>
        </is>
      </c>
      <c r="D43" s="39" t="inlineStr">
        <is>
          <t>Contrôle complet sur iPhone/Android et corrections responsive.</t>
        </is>
      </c>
      <c r="E43" s="37" t="inlineStr">
        <is>
          <t>Très élevée</t>
        </is>
      </c>
      <c r="F43" s="37" t="inlineStr">
        <is>
          <t>Terminé</t>
        </is>
      </c>
      <c r="G43" s="59" t="n">
        <v>10</v>
      </c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9" t="inlineStr">
        <is>
          <t>8. Tests, recette &amp; corrections</t>
        </is>
      </c>
      <c r="B44" s="37" t="inlineStr">
        <is>
          <t>FS-043</t>
        </is>
      </c>
      <c r="C44" s="39" t="inlineStr">
        <is>
          <t>Recette galeries</t>
        </is>
      </c>
      <c r="D44" s="39" t="inlineStr">
        <is>
          <t>Tests des filtres, lightbox, navigation, swipe et médias manquants.</t>
        </is>
      </c>
      <c r="E44" s="37" t="inlineStr">
        <is>
          <t>Élevée</t>
        </is>
      </c>
      <c r="F44" s="37" t="inlineStr">
        <is>
          <t>Terminé</t>
        </is>
      </c>
      <c r="G44" s="59" t="n">
        <v>7</v>
      </c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9" t="inlineStr">
        <is>
          <t>8. Tests, recette &amp; corrections</t>
        </is>
      </c>
      <c r="B45" s="37" t="inlineStr">
        <is>
          <t>FS-044</t>
        </is>
      </c>
      <c r="C45" s="39" t="inlineStr">
        <is>
          <t>Recette formulaire/contact</t>
        </is>
      </c>
      <c r="D45" s="39" t="inlineStr">
        <is>
          <t>Validation des champs, WhatsApp, téléphone, email, carte et réseaux sociaux.</t>
        </is>
      </c>
      <c r="E45" s="37" t="inlineStr">
        <is>
          <t>Élevée</t>
        </is>
      </c>
      <c r="F45" s="37" t="inlineStr">
        <is>
          <t>Terminé</t>
        </is>
      </c>
      <c r="G45" s="59" t="n">
        <v>6</v>
      </c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9" t="inlineStr">
        <is>
          <t>8. Tests, recette &amp; corrections</t>
        </is>
      </c>
      <c r="B46" s="37" t="inlineStr">
        <is>
          <t>FS-045</t>
        </is>
      </c>
      <c r="C46" s="39" t="inlineStr">
        <is>
          <t>Intégration des retours client</t>
        </is>
      </c>
      <c r="D46" s="39" t="inlineStr">
        <is>
          <t>Prise en compte et vérification des demandes successives du document de recette.</t>
        </is>
      </c>
      <c r="E46" s="37" t="inlineStr">
        <is>
          <t>Très élevée</t>
        </is>
      </c>
      <c r="F46" s="37" t="inlineStr">
        <is>
          <t>Terminé</t>
        </is>
      </c>
      <c r="G46" s="59" t="n">
        <v>8</v>
      </c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9" t="inlineStr">
        <is>
          <t>8. Tests, recette &amp; corrections</t>
        </is>
      </c>
      <c r="B47" s="37" t="inlineStr">
        <is>
          <t>FS-046</t>
        </is>
      </c>
      <c r="C47" s="39" t="inlineStr">
        <is>
          <t>Stabilisation finale</t>
        </is>
      </c>
      <c r="D47" s="39" t="inlineStr">
        <is>
          <t>Corrections de régression, harmonisation et contrôle avant livraison.</t>
        </is>
      </c>
      <c r="E47" s="37" t="inlineStr">
        <is>
          <t>Très élevée</t>
        </is>
      </c>
      <c r="F47" s="37" t="inlineStr">
        <is>
          <t>Terminé</t>
        </is>
      </c>
      <c r="G47" s="59" t="n">
        <v>4</v>
      </c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9" t="inlineStr">
        <is>
          <t>9. Documentation &amp; livraison</t>
        </is>
      </c>
      <c r="B48" s="37" t="inlineStr">
        <is>
          <t>FS-047</t>
        </is>
      </c>
      <c r="C48" s="39" t="inlineStr">
        <is>
          <t>Cahier des charges</t>
        </is>
      </c>
      <c r="D48" s="39" t="inlineStr">
        <is>
          <t>Mise à jour complète du périmètre et des exigences finales.</t>
        </is>
      </c>
      <c r="E48" s="37" t="inlineStr">
        <is>
          <t>Élevée</t>
        </is>
      </c>
      <c r="F48" s="37" t="inlineStr">
        <is>
          <t>Terminé</t>
        </is>
      </c>
      <c r="G48" s="59" t="n">
        <v>5</v>
      </c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9" t="inlineStr">
        <is>
          <t>9. Documentation &amp; livraison</t>
        </is>
      </c>
      <c r="B49" s="37" t="inlineStr">
        <is>
          <t>FS-048</t>
        </is>
      </c>
      <c r="C49" s="39" t="inlineStr">
        <is>
          <t>Spécifications fonctionnelles</t>
        </is>
      </c>
      <c r="D49" s="39" t="inlineStr">
        <is>
          <t>Documentation détaillée des pages, parcours et comportements.</t>
        </is>
      </c>
      <c r="E49" s="37" t="inlineStr">
        <is>
          <t>Élevée</t>
        </is>
      </c>
      <c r="F49" s="37" t="inlineStr">
        <is>
          <t>Terminé</t>
        </is>
      </c>
      <c r="G49" s="59" t="n">
        <v>5</v>
      </c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9" t="inlineStr">
        <is>
          <t>9. Documentation &amp; livraison</t>
        </is>
      </c>
      <c r="B50" s="37" t="inlineStr">
        <is>
          <t>FS-049</t>
        </is>
      </c>
      <c r="C50" s="39" t="inlineStr">
        <is>
          <t>Spécifications techniques</t>
        </is>
      </c>
      <c r="D50" s="39" t="inlineStr">
        <is>
          <t>Architecture, fichiers, performances, sécurité et déploiement.</t>
        </is>
      </c>
      <c r="E50" s="37" t="inlineStr">
        <is>
          <t>Élevée</t>
        </is>
      </c>
      <c r="F50" s="37" t="inlineStr">
        <is>
          <t>Terminé</t>
        </is>
      </c>
      <c r="G50" s="59" t="n">
        <v>5</v>
      </c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9" t="inlineStr">
        <is>
          <t>9. Documentation &amp; livraison</t>
        </is>
      </c>
      <c r="B51" s="37" t="inlineStr">
        <is>
          <t>FS-050</t>
        </is>
      </c>
      <c r="C51" s="39" t="inlineStr">
        <is>
          <t>Guide utilisateur</t>
        </is>
      </c>
      <c r="D51" s="39" t="inlineStr">
        <is>
          <t>Guide de navigation, galeries, contact et future administration.</t>
        </is>
      </c>
      <c r="E51" s="37" t="inlineStr">
        <is>
          <t>Moyenne</t>
        </is>
      </c>
      <c r="F51" s="37" t="inlineStr">
        <is>
          <t>Terminé</t>
        </is>
      </c>
      <c r="G51" s="59" t="n">
        <v>4</v>
      </c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9" t="inlineStr">
        <is>
          <t>9. Documentation &amp; livraison</t>
        </is>
      </c>
      <c r="B52" s="37" t="inlineStr">
        <is>
          <t>FS-051</t>
        </is>
      </c>
      <c r="C52" s="39" t="inlineStr">
        <is>
          <t>Dossier de livraison</t>
        </is>
      </c>
      <c r="D52" s="39" t="inlineStr">
        <is>
          <t>Préparation du package, dépôt Git, vérification des sources et transfert.</t>
        </is>
      </c>
      <c r="E52" s="37" t="inlineStr">
        <is>
          <t>Élevée</t>
        </is>
      </c>
      <c r="F52" s="37" t="inlineStr">
        <is>
          <t>Terminé</t>
        </is>
      </c>
      <c r="G52" s="59" t="n">
        <v>6</v>
      </c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9" t="inlineStr">
        <is>
          <t>10. Préparation de l'administration future</t>
        </is>
      </c>
      <c r="B53" s="37" t="inlineStr">
        <is>
          <t>FS-052</t>
        </is>
      </c>
      <c r="C53" s="39" t="inlineStr">
        <is>
          <t>Modèle de données éditorial</t>
        </is>
      </c>
      <c r="D53" s="39" t="inlineStr">
        <is>
          <t>Définition des entités administrables : pages, sections, textes, médias et SEO.</t>
        </is>
      </c>
      <c r="E53" s="37" t="inlineStr">
        <is>
          <t>Très élevée</t>
        </is>
      </c>
      <c r="F53" s="37" t="inlineStr">
        <is>
          <t>Préparé</t>
        </is>
      </c>
      <c r="G53" s="59" t="n">
        <v>8</v>
      </c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9" t="inlineStr">
        <is>
          <t>10. Préparation de l'administration future</t>
        </is>
      </c>
      <c r="B54" s="37" t="inlineStr">
        <is>
          <t>FS-053</t>
        </is>
      </c>
      <c r="C54" s="39" t="inlineStr">
        <is>
          <t>Modèle de galerie administrable</t>
        </is>
      </c>
      <c r="D54" s="39" t="inlineStr">
        <is>
          <t>Catégories, images, ordre, activation et médias de couverture.</t>
        </is>
      </c>
      <c r="E54" s="37" t="inlineStr">
        <is>
          <t>Très élevée</t>
        </is>
      </c>
      <c r="F54" s="37" t="inlineStr">
        <is>
          <t>Préparé</t>
        </is>
      </c>
      <c r="G54" s="59" t="n">
        <v>7</v>
      </c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9" t="inlineStr">
        <is>
          <t>10. Préparation de l'administration future</t>
        </is>
      </c>
      <c r="B55" s="37" t="inlineStr">
        <is>
          <t>FS-054</t>
        </is>
      </c>
      <c r="C55" s="39" t="inlineStr">
        <is>
          <t>Préparation des points d'intégration</t>
        </is>
      </c>
      <c r="D55" s="39" t="inlineStr">
        <is>
          <t>Séparation contenu/présentation et emplacements destinés au back-office.</t>
        </is>
      </c>
      <c r="E55" s="37" t="inlineStr">
        <is>
          <t>Très élevée</t>
        </is>
      </c>
      <c r="F55" s="37" t="inlineStr">
        <is>
          <t>Préparé</t>
        </is>
      </c>
      <c r="G55" s="59" t="n">
        <v>6</v>
      </c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9" t="inlineStr">
        <is>
          <t>10. Préparation de l'administration future</t>
        </is>
      </c>
      <c r="B56" s="37" t="inlineStr">
        <is>
          <t>FS-055</t>
        </is>
      </c>
      <c r="C56" s="39" t="inlineStr">
        <is>
          <t>Règles de validation futures</t>
        </is>
      </c>
      <c r="D56" s="39" t="inlineStr">
        <is>
          <t>Règles de saisie, formats images, contraintes et prévention des contenus incohérents.</t>
        </is>
      </c>
      <c r="E56" s="37" t="inlineStr">
        <is>
          <t>Élevée</t>
        </is>
      </c>
      <c r="F56" s="37" t="inlineStr">
        <is>
          <t>Préparé</t>
        </is>
      </c>
      <c r="G56" s="59" t="n">
        <v>5</v>
      </c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9" t="inlineStr">
        <is>
          <t>10. Préparation de l'administration future</t>
        </is>
      </c>
      <c r="B57" s="37" t="inlineStr">
        <is>
          <t>FS-056</t>
        </is>
      </c>
      <c r="C57" s="39" t="inlineStr">
        <is>
          <t>Documentation phase administration</t>
        </is>
      </c>
      <c r="D57" s="39" t="inlineStr">
        <is>
          <t>Périmètre, prérequis et recommandations pour la seconde phase.</t>
        </is>
      </c>
      <c r="E57" s="37" t="inlineStr">
        <is>
          <t>Élevée</t>
        </is>
      </c>
      <c r="F57" s="37" t="inlineStr">
        <is>
          <t>Préparé</t>
        </is>
      </c>
      <c r="G57" s="59" t="n">
        <v>4</v>
      </c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45" t="inlineStr">
        <is>
          <t>TOTAL GÉNÉRAL</t>
        </is>
      </c>
      <c r="B59" s="1" t="n"/>
      <c r="C59" s="1" t="n"/>
      <c r="D59" s="1" t="n"/>
      <c r="E59" s="1" t="n"/>
      <c r="F59" s="1" t="n"/>
      <c r="G59" s="36">
        <f>SUM(G2:G57)</f>
        <v/>
      </c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</sheetData>
  <mergeCells count="1">
    <mergeCell ref="A59:F59"/>
  </mergeCells>
  <conditionalFormatting sqref="G2:G57">
    <cfRule type="dataBar" priority="1">
      <dataBar>
        <cfvo type="min"/>
        <cfvo type="max"/>
        <color rgb="FFC8A97E"/>
      </dataBar>
    </cfRule>
  </conditionalFormatting>
  <dataValidations count="2">
    <dataValidation sqref="E2:E57" showDropDown="0" showInputMessage="0" showErrorMessage="0" allowBlank="0" type="list">
      <formula1>"Faible,Moyenne,Élevée,Très élevée"</formula1>
    </dataValidation>
    <dataValidation sqref="F2:F57" showDropDown="0" showInputMessage="0" showErrorMessage="0" allowBlank="0" type="list">
      <formula1>"À faire,En cours,Terminé,Préparé,Bloqué"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  <col width="12" customWidth="1" min="3" max="3"/>
    <col width="12" customWidth="1" min="4" max="4"/>
    <col width="20" customWidth="1" min="5" max="5"/>
  </cols>
  <sheetData>
    <row r="1">
      <c r="A1" s="40" t="inlineStr">
        <is>
          <t>Lot</t>
        </is>
      </c>
      <c r="B1" s="40" t="inlineStr">
        <is>
          <t>Objectif</t>
        </is>
      </c>
      <c r="C1" s="40" t="inlineStr">
        <is>
          <t>Heures</t>
        </is>
      </c>
      <c r="D1" s="40" t="inlineStr">
        <is>
          <t>% total</t>
        </is>
      </c>
      <c r="E1" s="40" t="inlineStr">
        <is>
          <t>Niveau de complexité</t>
        </is>
      </c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inlineStr">
        <is>
          <t>1. Cadrage &amp; conception</t>
        </is>
      </c>
      <c r="B2" s="39" t="inlineStr">
        <is>
          <t>Comprendre, cadrer et organiser le besoin métier.</t>
        </is>
      </c>
      <c r="C2" s="37" t="n">
        <v>35</v>
      </c>
      <c r="D2" s="58" t="n">
        <v>0.08045977011494253</v>
      </c>
      <c r="E2" s="37" t="inlineStr">
        <is>
          <t>Élevée</t>
        </is>
      </c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inlineStr">
        <is>
          <t>2. UX/UI &amp; identité visuelle</t>
        </is>
      </c>
      <c r="B3" s="39" t="inlineStr">
        <is>
          <t>Créer une identité cohérente et un rendu premium.</t>
        </is>
      </c>
      <c r="C3" s="37" t="n">
        <v>50</v>
      </c>
      <c r="D3" s="58" t="n">
        <v>0.1149425287356322</v>
      </c>
      <c r="E3" s="37" t="inlineStr">
        <is>
          <t>Très élevée</t>
        </is>
      </c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inlineStr">
        <is>
          <t>3. Architecture &amp; socle technique</t>
        </is>
      </c>
      <c r="B4" s="39" t="inlineStr">
        <is>
          <t>Construire une base autonome, propre et maintenable.</t>
        </is>
      </c>
      <c r="C4" s="37" t="n">
        <v>40</v>
      </c>
      <c r="D4" s="58" t="n">
        <v>0.09195402298850575</v>
      </c>
      <c r="E4" s="37" t="inlineStr">
        <is>
          <t>Élevée</t>
        </is>
      </c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inlineStr">
        <is>
          <t>4. Développement des pages</t>
        </is>
      </c>
      <c r="B5" s="39" t="inlineStr">
        <is>
          <t>Développer l'ensemble des pages publiques.</t>
        </is>
      </c>
      <c r="C5" s="37" t="n">
        <v>80</v>
      </c>
      <c r="D5" s="58" t="n">
        <v>0.1839080459770115</v>
      </c>
      <c r="E5" s="37" t="inlineStr">
        <is>
          <t>Très élevée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inlineStr">
        <is>
          <t>5. Galeries, médias &amp; contenus</t>
        </is>
      </c>
      <c r="B6" s="39" t="inlineStr">
        <is>
          <t>Structurer, optimiser et valoriser les créations.</t>
        </is>
      </c>
      <c r="C6" s="37" t="n">
        <v>45</v>
      </c>
      <c r="D6" s="58" t="n">
        <v>0.103448275862069</v>
      </c>
      <c r="E6" s="37" t="inlineStr">
        <is>
          <t>Très élevée</t>
        </is>
      </c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inlineStr">
        <is>
          <t>6. Responsive &amp; accessibilité</t>
        </is>
      </c>
      <c r="B7" s="39" t="inlineStr">
        <is>
          <t>Garantir une expérience de qualité sur tous les écrans.</t>
        </is>
      </c>
      <c r="C7" s="37" t="n">
        <v>35</v>
      </c>
      <c r="D7" s="58" t="n">
        <v>0.08045977011494253</v>
      </c>
      <c r="E7" s="37" t="inlineStr">
        <is>
          <t>Élevée</t>
        </is>
      </c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inlineStr">
        <is>
          <t>7. SEO, performance &amp; sécurité</t>
        </is>
      </c>
      <c r="B8" s="39" t="inlineStr">
        <is>
          <t>Optimiser visibilité, vitesse et robustesse.</t>
        </is>
      </c>
      <c r="C8" s="37" t="n">
        <v>45</v>
      </c>
      <c r="D8" s="58" t="n">
        <v>0.103448275862069</v>
      </c>
      <c r="E8" s="37" t="inlineStr">
        <is>
          <t>Très élevée</t>
        </is>
      </c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inlineStr">
        <is>
          <t>8. Tests, recette &amp; corrections</t>
        </is>
      </c>
      <c r="B9" s="39" t="inlineStr">
        <is>
          <t>Valider, corriger et stabiliser la version finale.</t>
        </is>
      </c>
      <c r="C9" s="37" t="n">
        <v>50</v>
      </c>
      <c r="D9" s="58" t="n">
        <v>0.1149425287356322</v>
      </c>
      <c r="E9" s="37" t="inlineStr">
        <is>
          <t>Très élevée</t>
        </is>
      </c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inlineStr">
        <is>
          <t>9. Documentation &amp; livraison</t>
        </is>
      </c>
      <c r="B10" s="39" t="inlineStr">
        <is>
          <t>Documenter et préparer la remise du produit.</t>
        </is>
      </c>
      <c r="C10" s="37" t="n">
        <v>25</v>
      </c>
      <c r="D10" s="58" t="n">
        <v>0.05747126436781609</v>
      </c>
      <c r="E10" s="37" t="inlineStr">
        <is>
          <t>Élevée</t>
        </is>
      </c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inlineStr">
        <is>
          <t>10. Préparation de l'administration future</t>
        </is>
      </c>
      <c r="B11" s="39" t="inlineStr">
        <is>
          <t>Préparer la phase 2 sans développer le back-office.</t>
        </is>
      </c>
      <c r="C11" s="37" t="n">
        <v>30</v>
      </c>
      <c r="D11" s="58" t="n">
        <v>0.06896551724137931</v>
      </c>
      <c r="E11" s="37" t="inlineStr">
        <is>
          <t>Très élevée</t>
        </is>
      </c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6" t="inlineStr">
        <is>
          <t>TOTAL</t>
        </is>
      </c>
      <c r="B13" s="36" t="n">
        <v>435</v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36" customWidth="1" min="6" max="6"/>
    <col width="14" customWidth="1" min="7" max="7"/>
  </cols>
  <sheetData>
    <row r="1">
      <c r="A1" s="40" t="inlineStr">
        <is>
          <t>Phase</t>
        </is>
      </c>
      <c r="B1" s="40" t="inlineStr">
        <is>
          <t>Lot</t>
        </is>
      </c>
      <c r="C1" s="40" t="inlineStr">
        <is>
          <t>Début</t>
        </is>
      </c>
      <c r="D1" s="40" t="inlineStr">
        <is>
          <t>Fin</t>
        </is>
      </c>
      <c r="E1" s="40" t="inlineStr">
        <is>
          <t>Charge (h)</t>
        </is>
      </c>
      <c r="F1" s="40" t="inlineStr">
        <is>
          <t>Livrable</t>
        </is>
      </c>
      <c r="G1" s="40" t="inlineStr">
        <is>
          <t>Statut</t>
        </is>
      </c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inlineStr">
        <is>
          <t>Phase 1</t>
        </is>
      </c>
      <c r="B2" s="37" t="inlineStr">
        <is>
          <t>Cadrage &amp; conception</t>
        </is>
      </c>
      <c r="C2" s="37" t="inlineStr">
        <is>
          <t>Semaine 1</t>
        </is>
      </c>
      <c r="D2" s="37" t="inlineStr">
        <is>
          <t>Semaine 1</t>
        </is>
      </c>
      <c r="E2" s="37" t="n">
        <v>35</v>
      </c>
      <c r="F2" s="39" t="inlineStr">
        <is>
          <t>Périmètre et arborescence</t>
        </is>
      </c>
      <c r="G2" s="37" t="inlineStr">
        <is>
          <t>Terminé</t>
        </is>
      </c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inlineStr">
        <is>
          <t>Phase 2</t>
        </is>
      </c>
      <c r="B3" s="37" t="inlineStr">
        <is>
          <t>UX/UI &amp; identité visuelle</t>
        </is>
      </c>
      <c r="C3" s="37" t="inlineStr">
        <is>
          <t>Semaine 1</t>
        </is>
      </c>
      <c r="D3" s="37" t="inlineStr">
        <is>
          <t>Semaine 2</t>
        </is>
      </c>
      <c r="E3" s="37" t="n">
        <v>50</v>
      </c>
      <c r="F3" s="39" t="inlineStr">
        <is>
          <t>Direction artistique validée</t>
        </is>
      </c>
      <c r="G3" s="37" t="inlineStr">
        <is>
          <t>Terminé</t>
        </is>
      </c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inlineStr">
        <is>
          <t>Phase 3</t>
        </is>
      </c>
      <c r="B4" s="37" t="inlineStr">
        <is>
          <t>Architecture &amp; socle technique</t>
        </is>
      </c>
      <c r="C4" s="37" t="inlineStr">
        <is>
          <t>Semaine 2</t>
        </is>
      </c>
      <c r="D4" s="37" t="inlineStr">
        <is>
          <t>Semaine 3</t>
        </is>
      </c>
      <c r="E4" s="37" t="n">
        <v>40</v>
      </c>
      <c r="F4" s="39" t="inlineStr">
        <is>
          <t>Repo et socle autonome</t>
        </is>
      </c>
      <c r="G4" s="37" t="inlineStr">
        <is>
          <t>Terminé</t>
        </is>
      </c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inlineStr">
        <is>
          <t>Phase 4</t>
        </is>
      </c>
      <c r="B5" s="37" t="inlineStr">
        <is>
          <t>Développement des pages</t>
        </is>
      </c>
      <c r="C5" s="37" t="inlineStr">
        <is>
          <t>Semaine 3</t>
        </is>
      </c>
      <c r="D5" s="37" t="inlineStr">
        <is>
          <t>Semaine 5</t>
        </is>
      </c>
      <c r="E5" s="37" t="n">
        <v>80</v>
      </c>
      <c r="F5" s="39" t="inlineStr">
        <is>
          <t>Pages publiques</t>
        </is>
      </c>
      <c r="G5" s="37" t="inlineStr">
        <is>
          <t>Terminé</t>
        </is>
      </c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inlineStr">
        <is>
          <t>Phase 5</t>
        </is>
      </c>
      <c r="B6" s="37" t="inlineStr">
        <is>
          <t>Galeries, médias &amp; contenus</t>
        </is>
      </c>
      <c r="C6" s="37" t="inlineStr">
        <is>
          <t>Semaine 4</t>
        </is>
      </c>
      <c r="D6" s="37" t="inlineStr">
        <is>
          <t>Semaine 6</t>
        </is>
      </c>
      <c r="E6" s="37" t="n">
        <v>45</v>
      </c>
      <c r="F6" s="39" t="inlineStr">
        <is>
          <t>Galeries et médias optimisés</t>
        </is>
      </c>
      <c r="G6" s="37" t="inlineStr">
        <is>
          <t>Terminé</t>
        </is>
      </c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inlineStr">
        <is>
          <t>Phase 6</t>
        </is>
      </c>
      <c r="B7" s="37" t="inlineStr">
        <is>
          <t>Responsive &amp; accessibilité</t>
        </is>
      </c>
      <c r="C7" s="37" t="inlineStr">
        <is>
          <t>Semaine 5</t>
        </is>
      </c>
      <c r="D7" s="37" t="inlineStr">
        <is>
          <t>Semaine 6</t>
        </is>
      </c>
      <c r="E7" s="37" t="n">
        <v>35</v>
      </c>
      <c r="F7" s="39" t="inlineStr">
        <is>
          <t>Version multi-écrans</t>
        </is>
      </c>
      <c r="G7" s="37" t="inlineStr">
        <is>
          <t>Terminé</t>
        </is>
      </c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inlineStr">
        <is>
          <t>Phase 7</t>
        </is>
      </c>
      <c r="B8" s="37" t="inlineStr">
        <is>
          <t>SEO, performance &amp; sécurité</t>
        </is>
      </c>
      <c r="C8" s="37" t="inlineStr">
        <is>
          <t>Semaine 6</t>
        </is>
      </c>
      <c r="D8" s="37" t="inlineStr">
        <is>
          <t>Semaine 7</t>
        </is>
      </c>
      <c r="E8" s="37" t="n">
        <v>45</v>
      </c>
      <c r="F8" s="39" t="inlineStr">
        <is>
          <t>Version optimisée</t>
        </is>
      </c>
      <c r="G8" s="37" t="inlineStr">
        <is>
          <t>Terminé</t>
        </is>
      </c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inlineStr">
        <is>
          <t>Phase 8</t>
        </is>
      </c>
      <c r="B9" s="37" t="inlineStr">
        <is>
          <t>Tests, recette &amp; corrections</t>
        </is>
      </c>
      <c r="C9" s="37" t="inlineStr">
        <is>
          <t>Semaine 7</t>
        </is>
      </c>
      <c r="D9" s="37" t="inlineStr">
        <is>
          <t>Semaine 8</t>
        </is>
      </c>
      <c r="E9" s="37" t="n">
        <v>50</v>
      </c>
      <c r="F9" s="39" t="inlineStr">
        <is>
          <t>Version stabilisée</t>
        </is>
      </c>
      <c r="G9" s="37" t="inlineStr">
        <is>
          <t>Terminé</t>
        </is>
      </c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inlineStr">
        <is>
          <t>Phase 9</t>
        </is>
      </c>
      <c r="B10" s="37" t="inlineStr">
        <is>
          <t>Documentation &amp; livraison</t>
        </is>
      </c>
      <c r="C10" s="37" t="inlineStr">
        <is>
          <t>Semaine 8</t>
        </is>
      </c>
      <c r="D10" s="37" t="inlineStr">
        <is>
          <t>Semaine 8</t>
        </is>
      </c>
      <c r="E10" s="37" t="n">
        <v>25</v>
      </c>
      <c r="F10" s="39" t="inlineStr">
        <is>
          <t>Dossier de livraison</t>
        </is>
      </c>
      <c r="G10" s="37" t="inlineStr">
        <is>
          <t>Terminé</t>
        </is>
      </c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inlineStr">
        <is>
          <t>Phase 10</t>
        </is>
      </c>
      <c r="B11" s="37" t="inlineStr">
        <is>
          <t>Préparation admin future</t>
        </is>
      </c>
      <c r="C11" s="37" t="inlineStr">
        <is>
          <t>Transverse</t>
        </is>
      </c>
      <c r="D11" s="37" t="inlineStr">
        <is>
          <t>Phase 2</t>
        </is>
      </c>
      <c r="E11" s="37" t="n">
        <v>30</v>
      </c>
      <c r="F11" s="39" t="inlineStr">
        <is>
          <t>Architecture prête</t>
        </is>
      </c>
      <c r="G11" s="37" t="inlineStr">
        <is>
          <t>Préparé</t>
        </is>
      </c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</sheetData>
  <conditionalFormatting sqref="E2:E11">
    <cfRule type="dataBar" priority="1">
      <dataBar>
        <cfvo type="min"/>
        <cfvo type="max"/>
        <color rgb="FFE91E63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4" customWidth="1" min="4" max="4"/>
    <col width="55" customWidth="1" min="5" max="5"/>
    <col width="24" customWidth="1" min="6" max="6"/>
  </cols>
  <sheetData>
    <row r="1">
      <c r="A1" s="40" t="inlineStr">
        <is>
          <t>ID</t>
        </is>
      </c>
      <c r="B1" s="40" t="inlineStr">
        <is>
          <t>Risque</t>
        </is>
      </c>
      <c r="C1" s="40" t="inlineStr">
        <is>
          <t>Impact</t>
        </is>
      </c>
      <c r="D1" s="40" t="inlineStr">
        <is>
          <t>Probabilité</t>
        </is>
      </c>
      <c r="E1" s="40" t="inlineStr">
        <is>
          <t>Mesure de maîtrise</t>
        </is>
      </c>
      <c r="F1" s="40" t="inlineStr">
        <is>
          <t>Statut</t>
        </is>
      </c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inlineStr">
        <is>
          <t>R-01</t>
        </is>
      </c>
      <c r="B2" s="39" t="inlineStr">
        <is>
          <t>Régression lors d'une correction finale</t>
        </is>
      </c>
      <c r="C2" s="39" t="inlineStr">
        <is>
          <t>Élevé</t>
        </is>
      </c>
      <c r="D2" s="39" t="inlineStr">
        <is>
          <t>Moyenne</t>
        </is>
      </c>
      <c r="E2" s="39" t="inlineStr">
        <is>
          <t>Tests de non-régression avant chaque déploiement.</t>
        </is>
      </c>
      <c r="F2" s="39" t="inlineStr">
        <is>
          <t>Maîtrisé</t>
        </is>
      </c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inlineStr">
        <is>
          <t>R-02</t>
        </is>
      </c>
      <c r="B3" s="39" t="inlineStr">
        <is>
          <t>Images lourdes sur mobile</t>
        </is>
      </c>
      <c r="C3" s="39" t="inlineStr">
        <is>
          <t>Élevé</t>
        </is>
      </c>
      <c r="D3" s="39" t="inlineStr">
        <is>
          <t>Moyenne</t>
        </is>
      </c>
      <c r="E3" s="39" t="inlineStr">
        <is>
          <t>Compression, tailles adaptées et lazy loading.</t>
        </is>
      </c>
      <c r="F3" s="39" t="inlineStr">
        <is>
          <t>Maîtrisé</t>
        </is>
      </c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inlineStr">
        <is>
          <t>R-03</t>
        </is>
      </c>
      <c r="B4" s="39" t="inlineStr">
        <is>
          <t>Contenu du template d'origine encore présent</t>
        </is>
      </c>
      <c r="C4" s="39" t="inlineStr">
        <is>
          <t>Élevé</t>
        </is>
      </c>
      <c r="D4" s="39" t="inlineStr">
        <is>
          <t>Faible</t>
        </is>
      </c>
      <c r="E4" s="39" t="inlineStr">
        <is>
          <t>Recherche globale et contrôle manuel.</t>
        </is>
      </c>
      <c r="F4" s="39" t="inlineStr">
        <is>
          <t>Maîtrisé</t>
        </is>
      </c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inlineStr">
        <is>
          <t>R-04</t>
        </is>
      </c>
      <c r="B5" s="39" t="inlineStr">
        <is>
          <t>Admin future nécessitant une refonte</t>
        </is>
      </c>
      <c r="C5" s="39" t="inlineStr">
        <is>
          <t>Élevé</t>
        </is>
      </c>
      <c r="D5" s="39" t="inlineStr">
        <is>
          <t>Faible</t>
        </is>
      </c>
      <c r="E5" s="39" t="inlineStr">
        <is>
          <t>Content model et structure de fichiers préparés.</t>
        </is>
      </c>
      <c r="F5" s="39" t="inlineStr">
        <is>
          <t>Maîtrisé</t>
        </is>
      </c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inlineStr">
        <is>
          <t>R-05</t>
        </is>
      </c>
      <c r="B6" s="39" t="inlineStr">
        <is>
          <t>Incompatibilité hébergement client</t>
        </is>
      </c>
      <c r="C6" s="39" t="inlineStr">
        <is>
          <t>Moyen</t>
        </is>
      </c>
      <c r="D6" s="39" t="inlineStr">
        <is>
          <t>Moyenne</t>
        </is>
      </c>
      <c r="E6" s="39" t="inlineStr">
        <is>
          <t>Package autonome HTML/CSS/JS et documentation de déploiement.</t>
        </is>
      </c>
      <c r="F6" s="39" t="inlineStr">
        <is>
          <t>À valider</t>
        </is>
      </c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inlineStr">
        <is>
          <t>R-06</t>
        </is>
      </c>
      <c r="B7" s="39" t="inlineStr">
        <is>
          <t>Mauvaise indexation Google avant domaine final</t>
        </is>
      </c>
      <c r="C7" s="39" t="inlineStr">
        <is>
          <t>Moyen</t>
        </is>
      </c>
      <c r="D7" s="39" t="inlineStr">
        <is>
          <t>Élevée</t>
        </is>
      </c>
      <c r="E7" s="39" t="inlineStr">
        <is>
          <t>Mettre à jour canonical, sitemap et Search Console après domaine final.</t>
        </is>
      </c>
      <c r="F7" s="39" t="inlineStr">
        <is>
          <t>À traiter à la mise en ligne</t>
        </is>
      </c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8" customWidth="1" min="3" max="3"/>
    <col width="18" customWidth="1" min="4" max="4"/>
    <col width="42" customWidth="1" min="5" max="5"/>
    <col width="24" customWidth="1" min="6" max="6"/>
  </cols>
  <sheetData>
    <row r="1">
      <c r="A1" s="40" t="inlineStr">
        <is>
          <t>ID</t>
        </is>
      </c>
      <c r="B1" s="40" t="inlineStr">
        <is>
          <t>Contrôle</t>
        </is>
      </c>
      <c r="C1" s="40" t="inlineStr">
        <is>
          <t>Résultat attendu</t>
        </is>
      </c>
      <c r="D1" s="40" t="inlineStr">
        <is>
          <t>Statut</t>
        </is>
      </c>
      <c r="E1" s="40" t="inlineStr">
        <is>
          <t>Preuve / commentaire</t>
        </is>
      </c>
      <c r="F1" s="40" t="inlineStr">
        <is>
          <t>Page</t>
        </is>
      </c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inlineStr">
        <is>
          <t>T-01</t>
        </is>
      </c>
      <c r="B2" s="39" t="inlineStr">
        <is>
          <t>Chargement Accueil</t>
        </is>
      </c>
      <c r="C2" s="39" t="inlineStr">
        <is>
          <t>Page complète sans erreur bloquante</t>
        </is>
      </c>
      <c r="D2" s="39" t="inlineStr">
        <is>
          <t>À valider</t>
        </is>
      </c>
      <c r="E2" s="39" t="str"/>
      <c r="F2" s="39" t="inlineStr">
        <is>
          <t>index.html</t>
        </is>
      </c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inlineStr">
        <is>
          <t>T-02</t>
        </is>
      </c>
      <c r="B3" s="39" t="inlineStr">
        <is>
          <t>Navigation desktop</t>
        </is>
      </c>
      <c r="C3" s="39" t="inlineStr">
        <is>
          <t>Tous les liens ouvrent la bonne page</t>
        </is>
      </c>
      <c r="D3" s="39" t="inlineStr">
        <is>
          <t>À valider</t>
        </is>
      </c>
      <c r="E3" s="39" t="str"/>
      <c r="F3" s="39" t="inlineStr">
        <is>
          <t>Toutes</t>
        </is>
      </c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inlineStr">
        <is>
          <t>T-03</t>
        </is>
      </c>
      <c r="B4" s="39" t="inlineStr">
        <is>
          <t>Navigation mobile</t>
        </is>
      </c>
      <c r="C4" s="39" t="inlineStr">
        <is>
          <t>Menu burger lisible et fonctionnel</t>
        </is>
      </c>
      <c r="D4" s="39" t="inlineStr">
        <is>
          <t>À valider</t>
        </is>
      </c>
      <c r="E4" s="39" t="str"/>
      <c r="F4" s="39" t="inlineStr">
        <is>
          <t>Toutes</t>
        </is>
      </c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inlineStr">
        <is>
          <t>T-04</t>
        </is>
      </c>
      <c r="B5" s="39" t="inlineStr">
        <is>
          <t>Galeries</t>
        </is>
      </c>
      <c r="C5" s="39" t="inlineStr">
        <is>
          <t>Filtres et lightbox par catégorie</t>
        </is>
      </c>
      <c r="D5" s="39" t="inlineStr">
        <is>
          <t>À valider</t>
        </is>
      </c>
      <c r="E5" s="39" t="str"/>
      <c r="F5" s="39" t="inlineStr">
        <is>
          <t>creations.html</t>
        </is>
      </c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inlineStr">
        <is>
          <t>T-05</t>
        </is>
      </c>
      <c r="B6" s="39" t="inlineStr">
        <is>
          <t>Contact WhatsApp</t>
        </is>
      </c>
      <c r="C6" s="39" t="inlineStr">
        <is>
          <t>Message prérempli correct</t>
        </is>
      </c>
      <c r="D6" s="39" t="inlineStr">
        <is>
          <t>À valider</t>
        </is>
      </c>
      <c r="E6" s="39" t="str"/>
      <c r="F6" s="39" t="inlineStr">
        <is>
          <t>contact.html</t>
        </is>
      </c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inlineStr">
        <is>
          <t>T-06</t>
        </is>
      </c>
      <c r="B7" s="39" t="inlineStr">
        <is>
          <t>Téléphone / email</t>
        </is>
      </c>
      <c r="C7" s="39" t="inlineStr">
        <is>
          <t>Liens tel: et mailto: fonctionnels</t>
        </is>
      </c>
      <c r="D7" s="39" t="inlineStr">
        <is>
          <t>À valider</t>
        </is>
      </c>
      <c r="E7" s="39" t="str"/>
      <c r="F7" s="39" t="inlineStr">
        <is>
          <t>Toutes</t>
        </is>
      </c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inlineStr">
        <is>
          <t>T-07</t>
        </is>
      </c>
      <c r="B8" s="39" t="inlineStr">
        <is>
          <t>Facebook / Instagram</t>
        </is>
      </c>
      <c r="C8" s="39" t="inlineStr">
        <is>
          <t>Ouverture dans un nouvel onglet</t>
        </is>
      </c>
      <c r="D8" s="39" t="inlineStr">
        <is>
          <t>À valider</t>
        </is>
      </c>
      <c r="E8" s="39" t="str"/>
      <c r="F8" s="39" t="inlineStr">
        <is>
          <t>Footer / Contact</t>
        </is>
      </c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inlineStr">
        <is>
          <t>T-08</t>
        </is>
      </c>
      <c r="B9" s="39" t="inlineStr">
        <is>
          <t>Responsive mobile</t>
        </is>
      </c>
      <c r="C9" s="39" t="inlineStr">
        <is>
          <t>Aucun débordement ni photo interminable</t>
        </is>
      </c>
      <c r="D9" s="39" t="inlineStr">
        <is>
          <t>À valider</t>
        </is>
      </c>
      <c r="E9" s="39" t="str"/>
      <c r="F9" s="39" t="inlineStr">
        <is>
          <t>Toutes</t>
        </is>
      </c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inlineStr">
        <is>
          <t>T-09</t>
        </is>
      </c>
      <c r="B10" s="39" t="inlineStr">
        <is>
          <t>SEO</t>
        </is>
      </c>
      <c r="C10" s="39" t="inlineStr">
        <is>
          <t>Title, description, H1, sitemap et robots présents</t>
        </is>
      </c>
      <c r="D10" s="39" t="inlineStr">
        <is>
          <t>À valider</t>
        </is>
      </c>
      <c r="E10" s="39" t="str"/>
      <c r="F10" s="39" t="inlineStr">
        <is>
          <t>Toutes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inlineStr">
        <is>
          <t>T-10</t>
        </is>
      </c>
      <c r="B11" s="39" t="inlineStr">
        <is>
          <t>Performance</t>
        </is>
      </c>
      <c r="C11" s="39" t="inlineStr">
        <is>
          <t>Images optimisées et scripts non bloquants</t>
        </is>
      </c>
      <c r="D11" s="39" t="inlineStr">
        <is>
          <t>À valider</t>
        </is>
      </c>
      <c r="E11" s="39" t="str"/>
      <c r="F11" s="39" t="inlineStr">
        <is>
          <t>Toutes</t>
        </is>
      </c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inlineStr">
        <is>
          <t>T-11</t>
        </is>
      </c>
      <c r="B12" s="39" t="inlineStr">
        <is>
          <t>Contenu métier</t>
        </is>
      </c>
      <c r="C12" s="39" t="inlineStr">
        <is>
          <t>Aucune référence restaurant / template</t>
        </is>
      </c>
      <c r="D12" s="39" t="inlineStr">
        <is>
          <t>À valider</t>
        </is>
      </c>
      <c r="E12" s="39" t="str"/>
      <c r="F12" s="39" t="inlineStr">
        <is>
          <t>Repo complet</t>
        </is>
      </c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inlineStr">
        <is>
          <t>T-12</t>
        </is>
      </c>
      <c r="B13" s="39" t="inlineStr">
        <is>
          <t>Label Maître Artisan</t>
        </is>
      </c>
      <c r="C13" s="39" t="inlineStr">
        <is>
          <t>Logo et textes visibles sans déformation</t>
        </is>
      </c>
      <c r="D13" s="39" t="inlineStr">
        <is>
          <t>À valider</t>
        </is>
      </c>
      <c r="E13" s="39" t="str"/>
      <c r="F13" s="39" t="inlineStr">
        <is>
          <t>Accueil / Présentation / Footer</t>
        </is>
      </c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</sheetData>
  <dataValidations count="1">
    <dataValidation sqref="D2:D100" showDropDown="0" showInputMessage="0" showErrorMessage="0" allowBlank="0" type="list">
      <formula1>"À valider,Validé,Non conforme,Non 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2026-07-16T23:23:06Z</dcterms:created>
  <dcterms:modified xmlns:dcterms="http://purl.org/dc/terms/" xmlns:xsi="http://www.w3.org/2001/XMLSchema-instance" xsi:type="dcterms:W3CDTF">2026-07-16T23:23:07Z</dcterms:modified>
</cp:coreProperties>
</file>