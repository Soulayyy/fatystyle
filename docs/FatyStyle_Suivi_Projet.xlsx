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87592d4a5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8e552c0199274d00"/>
    <x:sheet xmlns:r="http://schemas.openxmlformats.org/officeDocument/2006/relationships" name="Détail charges" sheetId="2" r:id="Re36128693596455e"/>
    <x:sheet xmlns:r="http://schemas.openxmlformats.org/officeDocument/2006/relationships" name="Lots" sheetId="3" r:id="R9d7c1c6b2332455f"/>
    <x:sheet xmlns:r="http://schemas.openxmlformats.org/officeDocument/2006/relationships" name="Planning" sheetId="4" r:id="R8128df04fa164042"/>
    <x:sheet xmlns:r="http://schemas.openxmlformats.org/officeDocument/2006/relationships" name="Risques" sheetId="5" r:id="Rf671234cf2574765"/>
    <x:sheet xmlns:r="http://schemas.openxmlformats.org/officeDocument/2006/relationships" name="Recette" sheetId="6" r:id="Rb2db6779b902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%"/>
    <x:numFmt numFmtId="202" formatCode="0.0%"/>
    <x:numFmt numFmtId="203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8181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91E63"/>
      </x:patternFill>
    </x:fill>
    <x:fill>
      <x:patternFill patternType="solid">
        <x:fgColor rgb="FFF7F1E8"/>
      </x:patternFill>
    </x:fill>
    <x:fill>
      <x:patternFill patternType="solid">
        <x:fgColor rgb="FF181818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8c2cdf5a54beb" /><Relationship Type="http://schemas.openxmlformats.org/officeDocument/2006/relationships/theme" Target="/xl/theme/theme1.xml" Id="R8a4defec20404332" /><Relationship Type="http://schemas.openxmlformats.org/officeDocument/2006/relationships/sharedStrings" Target="/xl/sharedStrings.xml" Id="Re420aba4b26141cf" /><Relationship Type="http://schemas.openxmlformats.org/officeDocument/2006/relationships/worksheet" Target="/xl/worksheets/sheet1.xml" Id="R8e552c0199274d00" /><Relationship Type="http://schemas.openxmlformats.org/officeDocument/2006/relationships/worksheet" Target="/xl/worksheets/sheet2.xml" Id="Re36128693596455e" /><Relationship Type="http://schemas.openxmlformats.org/officeDocument/2006/relationships/worksheet" Target="/xl/worksheets/sheet3.xml" Id="R9d7c1c6b2332455f" /><Relationship Type="http://schemas.openxmlformats.org/officeDocument/2006/relationships/worksheet" Target="/xl/worksheets/sheet4.xml" Id="R8128df04fa164042" /><Relationship Type="http://schemas.openxmlformats.org/officeDocument/2006/relationships/worksheet" Target="/xl/worksheets/sheet5.xml" Id="Rf671234cf2574765" /><Relationship Type="http://schemas.openxmlformats.org/officeDocument/2006/relationships/worksheet" Target="/xl/worksheets/sheet6.xml" Id="Rb2db6779b9024f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331bd7c1e44b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Répartition des 435 heures par lot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Heures</c:v>
          </c:tx>
          <c:cat>
            <c:strRef>
              <c:f>'Synthèse'!$A$27:$A$36</c:f>
              <c:strCache>
                <c:ptCount val="0"/>
              </c:strCache>
            </c:strRef>
          </c:cat>
          <c:val>
            <c:numRef>
              <c:f>'Synthèse'!$B$27:$B$36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331bd7c1e44b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hargesDetailTable" displayName="ChargesDetailTable" ref="A1:G57" headerRowCount="1">
  <x:tableColumns count="7">
    <x:tableColumn id="1" name="Lot"/>
    <x:tableColumn id="2" name="ID"/>
    <x:tableColumn id="3" name="Tâche"/>
    <x:tableColumn id="4" name="Description détaillée"/>
    <x:tableColumn id="5" name="Complexité"/>
    <x:tableColumn id="6" name="Statut"/>
    <x:tableColumn id="7" name="Heures prévues"/>
  </x:tableColumns>
  <x:tableStyleInfo name="TableStyleMedium2" showRowStripes="1"/>
</x:table>
</file>

<file path=xl/tables/table2.xml><?xml version="1.0" encoding="utf-8"?>
<x:table xmlns:x="http://schemas.openxmlformats.org/spreadsheetml/2006/main" id="2" name="LotsTable" displayName="LotsTable" ref="A1:E11" headerRowCount="1">
  <x:tableColumns count="5">
    <x:tableColumn id="1" name="Lot"/>
    <x:tableColumn id="2" name="Objectif"/>
    <x:tableColumn id="3" name="Heures"/>
    <x:tableColumn id="4" name="% total"/>
    <x:tableColumn id="5" name="Niveau de complexité"/>
  </x:tableColumns>
  <x:tableStyleInfo name="TableStyleMedium2" showRowStripes="1"/>
</x:table>
</file>

<file path=xl/tables/table3.xml><?xml version="1.0" encoding="utf-8"?>
<x:table xmlns:x="http://schemas.openxmlformats.org/spreadsheetml/2006/main" id="3" name="PlanningTable" displayName="PlanningTable" ref="A1:G11" headerRowCount="1">
  <x:tableColumns count="7">
    <x:tableColumn id="1" name="Phase"/>
    <x:tableColumn id="2" name="Lot"/>
    <x:tableColumn id="3" name="Début"/>
    <x:tableColumn id="4" name="Fin"/>
    <x:tableColumn id="5" name="Charge (h)"/>
    <x:tableColumn id="6" name="Livrable"/>
    <x:tableColumn id="7" name="Statut"/>
  </x:tableColumns>
  <x:tableStyleInfo name="TableStyleMedium2" showRowStripes="1"/>
</x:table>
</file>

<file path=xl/tables/table4.xml><?xml version="1.0" encoding="utf-8"?>
<x:table xmlns:x="http://schemas.openxmlformats.org/spreadsheetml/2006/main" id="4" name="RisquesTable" displayName="RisquesTable" ref="A1:F7" headerRowCount="1">
  <x:tableColumns count="6">
    <x:tableColumn id="1" name="ID"/>
    <x:tableColumn id="2" name="Risque"/>
    <x:tableColumn id="3" name="Impact"/>
    <x:tableColumn id="4" name="Probabilité"/>
    <x:tableColumn id="5" name="Mesure de maîtrise"/>
    <x:tableColumn id="6" name="Statut"/>
  </x:tableColumns>
  <x:tableStyleInfo name="TableStyleMedium2" showRowStripes="1"/>
</x:table>
</file>

<file path=xl/tables/table5.xml><?xml version="1.0" encoding="utf-8"?>
<x:table xmlns:x="http://schemas.openxmlformats.org/spreadsheetml/2006/main" id="5" name="RecetteTable" displayName="RecetteTable" ref="A1:F13" headerRowCount="1">
  <x:tableColumns count="6">
    <x:tableColumn id="1" name="ID"/>
    <x:tableColumn id="2" name="Contrôle"/>
    <x:tableColumn id="3" name="Résultat attendu"/>
    <x:tableColumn id="4" name="Statut"/>
    <x:tableColumn id="5" name="Preuve / commentaire"/>
    <x:tableColumn id="6" name="P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9610224f3449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b540c6c3324e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8672d1624440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f93ba4f60c45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a1c8b2102e41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e29b7b2eac4c2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18" hidden="0" customWidth="1"/>
    <x:col min="4" max="4" width="36" hidden="0" customWidth="1"/>
  </x:cols>
  <x:sheetData>
    <x:row r="1">
      <x:c r="A1" s="36" t="str">
        <x:v>FATY STYLE — SUIVI PROJET, CHARGES ET CHIFFRAGE</x:v>
      </x:c>
      <x:c r="B1" s="36"/>
      <x:c r="C1" s="36"/>
      <x:c r="D1" s="36"/>
      <x:c r="E1" s="36"/>
      <x:c r="F1" s="36"/>
      <x:c r="G1" s="36"/>
      <x:c r="H1" s="36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/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8" t="str">
        <x:v>Projet</x:v>
      </x:c>
      <x:c r="B3" s="39" t="str">
        <x:v>Faty Style — site vitrine couture</x:v>
      </x:c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8" t="str">
        <x:v>Version</x:v>
      </x:c>
      <x:c r="B4" s="39" t="str">
        <x:v>Version finale avant administration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8" t="str">
        <x:v>Statut</x:v>
      </x:c>
      <x:c r="B5" s="39" t="str">
        <x:v>Site terminé / recette client</x:v>
      </x:c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8" t="str">
        <x:v>URL de recette</x:v>
      </x:c>
      <x:c r="B6" s="39" t="str">
        <x:v>http://178.105.180.143:8082/index.html</x:v>
      </x:c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8" t="str">
        <x:v>Dépôt de travail</x:v>
      </x:c>
      <x:c r="B7" s="39" t="str">
        <x:v>https://github.com/hichama-collab/fatystyle</x:v>
      </x:c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8" t="str">
        <x:v>Périmètre</x:v>
      </x:c>
      <x:c r="B8" s="39" t="str">
        <x:v>Site public uniquement ; administration prévue en phase 2</x:v>
      </x:c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8" t="str">
        <x:v>Charge totale consolidée</x:v>
      </x:c>
      <x:c r="B9" s="39" t="n">
        <x:v>435</x:v>
      </x:c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8" t="str">
        <x:v>Unité</x:v>
      </x:c>
      <x:c r="B10" s="39" t="str">
        <x:v>heures</x:v>
      </x:c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40" t="str">
        <x:v>Indicateur</x:v>
      </x:c>
      <x:c r="B12" s="40" t="str">
        <x:v>Valeur</x:v>
      </x:c>
      <x:c r="C12" s="40" t="str">
        <x:v>Formule / lecture</x:v>
      </x:c>
      <x:c r="D12" s="40" t="str">
        <x:v>Observation</x:v>
      </x:c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str">
        <x:v>Nombre de lots</x:v>
      </x:c>
      <x:c r="B13" s="37" t="n">
        <x:v>10</x:v>
      </x:c>
      <x:c r="C13" s="37" t="str"/>
      <x:c r="D13" s="37" t="str">
        <x:v>10 lots structurants</x:v>
      </x:c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 t="str">
        <x:v>Nombre de tâches</x:v>
      </x:c>
      <x:c r="B14" s="37" t="n">
        <x:v>56</x:v>
      </x:c>
      <x:c r="C14" s="37" t="str"/>
      <x:c r="D14" s="37" t="str">
        <x:v>Détail exploitable pour suivi et justification</x:v>
      </x:c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 t="str">
        <x:v>Charge totale</x:v>
      </x:c>
      <x:c r="B15" s="37" t="n">
        <x:v>435</x:v>
      </x:c>
      <x:c r="C15" s="37" t="n">
        <x:f>SUM('Détail charges'!G2:G57)</x:f>
        <x:v>435</x:v>
      </x:c>
      <x:c r="D15" s="37" t="str">
        <x:v>Total demandé</x:v>
      </x:c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 t="str">
        <x:v>Part développement pages</x:v>
      </x:c>
      <x:c r="B16" s="37" t="n">
        <x:v>80</x:v>
      </x:c>
      <x:c r="C16" s="37" t="str"/>
      <x:c r="D16" s="37" t="str">
        <x:v>Pages publiques</x:v>
      </x:c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 t="str">
        <x:v>Part qualité / recette</x:v>
      </x:c>
      <x:c r="B17" s="37" t="n">
        <x:v>50</x:v>
      </x:c>
      <x:c r="C17" s="37" t="str"/>
      <x:c r="D17" s="37" t="str">
        <x:v>Tests, retours et stabilisation</x:v>
      </x:c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 t="str">
        <x:v>Préparation admin future</x:v>
      </x:c>
      <x:c r="B18" s="37" t="n">
        <x:v>30</x:v>
      </x:c>
      <x:c r="C18" s="37" t="str"/>
      <x:c r="D18" s="37" t="str">
        <x:v>Sans développer l'admin maintenant</x:v>
      </x:c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41" t="str">
        <x:v>Taux horaire HT à renseigner</x:v>
      </x:c>
      <x:c r="B20" s="42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41" t="str">
        <x:v>Montant HT</x:v>
      </x:c>
      <x:c r="B21" s="42" t="str">
        <x:f>IF(B20="","",B20*B15)</x:f>
      </x:c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41" t="str">
        <x:v>TVA</x:v>
      </x:c>
      <x:c r="B22" s="43" t="n">
        <x:v>0.2</x:v>
      </x:c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41" t="str">
        <x:v>Montant TTC</x:v>
      </x:c>
      <x:c r="B23" s="42" t="str">
        <x:f>IF(B21="","",B21*(1+B22))</x:f>
      </x:c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41" t="str">
        <x:v>Remarque</x:v>
      </x:c>
      <x:c r="B24" s="37" t="str">
        <x:v>Le fichier valorise principalement la charge en heures. Le taux peut être renseigné selon le devis commercial.</x:v>
      </x:c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40" t="str">
        <x:v>Lot</x:v>
      </x:c>
      <x:c r="B26" s="40" t="str">
        <x:v>Heures</x:v>
      </x:c>
      <x:c r="C26" s="40" t="str">
        <x:v>% du total</x:v>
      </x:c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 t="str">
        <x:v>1. Cadrage &amp; conception</x:v>
      </x:c>
      <x:c r="B27" s="37" t="n">
        <x:v>35</x:v>
      </x:c>
      <x:c r="C27" s="44" t="n">
        <x:v>0.08045977011494253</x:v>
      </x:c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 t="str">
        <x:v>2. UX/UI &amp; identité visuelle</x:v>
      </x:c>
      <x:c r="B28" s="37" t="n">
        <x:v>50</x:v>
      </x:c>
      <x:c r="C28" s="44" t="n">
        <x:v>0.11494252873563218</x:v>
      </x:c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 t="str">
        <x:v>3. Architecture &amp; socle technique</x:v>
      </x:c>
      <x:c r="B29" s="37" t="n">
        <x:v>40</x:v>
      </x:c>
      <x:c r="C29" s="44" t="n">
        <x:v>0.09195402298850575</x:v>
      </x:c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 t="str">
        <x:v>4. Développement des pages</x:v>
      </x:c>
      <x:c r="B30" s="37" t="n">
        <x:v>80</x:v>
      </x:c>
      <x:c r="C30" s="44" t="n">
        <x:v>0.1839080459770115</x:v>
      </x:c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 t="str">
        <x:v>5. Galeries, médias &amp; contenus</x:v>
      </x:c>
      <x:c r="B31" s="37" t="n">
        <x:v>45</x:v>
      </x:c>
      <x:c r="C31" s="44" t="n">
        <x:v>0.10344827586206896</x:v>
      </x:c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 t="str">
        <x:v>6. Responsive &amp; accessibilité</x:v>
      </x:c>
      <x:c r="B32" s="37" t="n">
        <x:v>35</x:v>
      </x:c>
      <x:c r="C32" s="44" t="n">
        <x:v>0.08045977011494253</x:v>
      </x:c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 t="str">
        <x:v>7. SEO, performance &amp; sécurité</x:v>
      </x:c>
      <x:c r="B33" s="37" t="n">
        <x:v>45</x:v>
      </x:c>
      <x:c r="C33" s="44" t="n">
        <x:v>0.10344827586206896</x:v>
      </x:c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 t="str">
        <x:v>8. Tests, recette &amp; corrections</x:v>
      </x:c>
      <x:c r="B34" s="37" t="n">
        <x:v>50</x:v>
      </x:c>
      <x:c r="C34" s="44" t="n">
        <x:v>0.11494252873563218</x:v>
      </x:c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 t="str">
        <x:v>9. Documentation &amp; livraison</x:v>
      </x:c>
      <x:c r="B35" s="37" t="n">
        <x:v>25</x:v>
      </x:c>
      <x:c r="C35" s="44" t="n">
        <x:v>0.05747126436781609</x:v>
      </x:c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 t="str">
        <x:v>10. Préparation de l'administration future</x:v>
      </x:c>
      <x:c r="B36" s="37" t="n">
        <x:v>30</x:v>
      </x:c>
      <x:c r="C36" s="44" t="n">
        <x:v>0.06896551724137931</x:v>
      </x:c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H1"/>
  </x:mergeCells>
  <x:conditionalFormatting sqref="B27:B36">
    <x:cfRule type="dataBar" priority="1">
      <x:dataBar>
        <x:cfvo type="min"/>
        <x:cfvo type="max"/>
        <x:color rgb="FFE91E63"/>
      </x:dataBar>
      <x:extLst>
        <x:ext xmlns:x14="http://schemas.microsoft.com/office/spreadsheetml/2009/9/main" uri="{B025F937-C7B1-47D3-B67F-A62EFF666E3E}">
          <x14:id>{D9C29B86-FB61-1FA0-2F2F-59ADEEF94050}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249610224f3449e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9C29B86-FB61-1FA0-2F2F-59ADEEF94050}">
            <x14:dataBar gradient="1">
              <x14:cfvo type="min"/>
              <x14:cfvo type="max"/>
              <x14:fillColor rgb="FFE91E63"/>
            </x14:dataBar>
          </x14:cfRule>
          <xm:sqref>B27:B36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30" hidden="0" customWidth="1"/>
    <x:col min="4" max="4" width="60" hidden="0" customWidth="1"/>
    <x:col min="5" max="5" width="15" hidden="0" customWidth="1"/>
    <x:col min="6" max="6" width="14" hidden="0" customWidth="1"/>
    <x:col min="7" max="7" width="14" hidden="0" customWidth="1"/>
  </x:cols>
  <x:sheetData>
    <x:row r="1">
      <x:c r="A1" s="40" t="str">
        <x:v>Lot</x:v>
      </x:c>
      <x:c r="B1" s="40" t="str">
        <x:v>ID</x:v>
      </x:c>
      <x:c r="C1" s="40" t="str">
        <x:v>Tâche</x:v>
      </x:c>
      <x:c r="D1" s="40" t="str">
        <x:v>Description détaillée</x:v>
      </x:c>
      <x:c r="E1" s="40" t="str">
        <x:v>Complexité</x:v>
      </x:c>
      <x:c r="F1" s="40" t="str">
        <x:v>Statut</x:v>
      </x:c>
      <x:c r="G1" s="40" t="str">
        <x:v>Heures prévues</x:v>
      </x:c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9" t="str">
        <x:v>1. Cadrage &amp; conception</x:v>
      </x:c>
      <x:c r="B2" s="37" t="str">
        <x:v>FS-001</x:v>
      </x:c>
      <x:c r="C2" s="39" t="str">
        <x:v>Analyse du besoin métier</x:v>
      </x:c>
      <x:c r="D2" s="39" t="str">
        <x:v>Analyse de l'activité, des cibles particuliers/professionnels, des services et des attentes client.</x:v>
      </x:c>
      <x:c r="E2" s="37" t="str">
        <x:v>Élevée</x:v>
      </x:c>
      <x:c r="F2" s="37" t="str">
        <x:v>Terminé</x:v>
      </x:c>
      <x:c r="G2" s="54" t="n">
        <x:v>8</x:v>
      </x:c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9" t="str">
        <x:v>1. Cadrage &amp; conception</x:v>
      </x:c>
      <x:c r="B3" s="37" t="str">
        <x:v>FS-002</x:v>
      </x:c>
      <x:c r="C3" s="39" t="str">
        <x:v>Audit de l'ancien site</x:v>
      </x:c>
      <x:c r="D3" s="39" t="str">
        <x:v>Revue fonctionnelle, contenus, photos, arborescence, points à conserver et éléments à supprimer.</x:v>
      </x:c>
      <x:c r="E3" s="37" t="str">
        <x:v>Moyenne</x:v>
      </x:c>
      <x:c r="F3" s="37" t="str">
        <x:v>Terminé</x:v>
      </x:c>
      <x:c r="G3" s="54" t="n">
        <x:v>7</x:v>
      </x:c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9" t="str">
        <x:v>1. Cadrage &amp; conception</x:v>
      </x:c>
      <x:c r="B4" s="37" t="str">
        <x:v>FS-003</x:v>
      </x:c>
      <x:c r="C4" s="39" t="str">
        <x:v>Définition du périmètre</x:v>
      </x:c>
      <x:c r="D4" s="39" t="str">
        <x:v>Définition des pages, parcours, CTA, galeries, contact et contraintes de livraison.</x:v>
      </x:c>
      <x:c r="E4" s="37" t="str">
        <x:v>Élevée</x:v>
      </x:c>
      <x:c r="F4" s="37" t="str">
        <x:v>Terminé</x:v>
      </x:c>
      <x:c r="G4" s="54" t="n">
        <x:v>6</x:v>
      </x:c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9" t="str">
        <x:v>1. Cadrage &amp; conception</x:v>
      </x:c>
      <x:c r="B5" s="37" t="str">
        <x:v>FS-004</x:v>
      </x:c>
      <x:c r="C5" s="39" t="str">
        <x:v>Arborescence fonctionnelle</x:v>
      </x:c>
      <x:c r="D5" s="39" t="str">
        <x:v>Structuration finale : Accueil, Présentation, Créations, Professionnels, Contact.</x:v>
      </x:c>
      <x:c r="E5" s="37" t="str">
        <x:v>Moyenne</x:v>
      </x:c>
      <x:c r="F5" s="37" t="str">
        <x:v>Terminé</x:v>
      </x:c>
      <x:c r="G5" s="54" t="n">
        <x:v>6</x:v>
      </x:c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9" t="str">
        <x:v>1. Cadrage &amp; conception</x:v>
      </x:c>
      <x:c r="B6" s="37" t="str">
        <x:v>FS-005</x:v>
      </x:c>
      <x:c r="C6" s="39" t="str">
        <x:v>Stratégie de contenu</x:v>
      </x:c>
      <x:c r="D6" s="39" t="str">
        <x:v>Répartition des contenus sans redondance, hiérarchie des informations et cohérence éditoriale.</x:v>
      </x:c>
      <x:c r="E6" s="37" t="str">
        <x:v>Élevée</x:v>
      </x:c>
      <x:c r="F6" s="37" t="str">
        <x:v>Terminé</x:v>
      </x:c>
      <x:c r="G6" s="54" t="n">
        <x:v>8</x:v>
      </x:c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9" t="str">
        <x:v>2. UX/UI &amp; identité visuelle</x:v>
      </x:c>
      <x:c r="B7" s="37" t="str">
        <x:v>FS-006</x:v>
      </x:c>
      <x:c r="C7" s="39" t="str">
        <x:v>Recherche de direction artistique</x:v>
      </x:c>
      <x:c r="D7" s="39" t="str">
        <x:v>Sélection d'une nouvelle base visuelle adaptée à la couture et abandon de l'ancien rendu.</x:v>
      </x:c>
      <x:c r="E7" s="37" t="str">
        <x:v>Élevée</x:v>
      </x:c>
      <x:c r="F7" s="37" t="str">
        <x:v>Terminé</x:v>
      </x:c>
      <x:c r="G7" s="54" t="n">
        <x:v>8</x:v>
      </x:c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9" t="str">
        <x:v>2. UX/UI &amp; identité visuelle</x:v>
      </x:c>
      <x:c r="B8" s="37" t="str">
        <x:v>FS-007</x:v>
      </x:c>
      <x:c r="C8" s="39" t="str">
        <x:v>Adaptation du template</x:v>
      </x:c>
      <x:c r="D8" s="39" t="str">
        <x:v>Transformation complète du template pour supprimer toute référence métier non pertinente.</x:v>
      </x:c>
      <x:c r="E8" s="37" t="str">
        <x:v>Très élevée</x:v>
      </x:c>
      <x:c r="F8" s="37" t="str">
        <x:v>Terminé</x:v>
      </x:c>
      <x:c r="G8" s="54" t="n">
        <x:v>12</x:v>
      </x:c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9" t="str">
        <x:v>2. UX/UI &amp; identité visuelle</x:v>
      </x:c>
      <x:c r="B9" s="37" t="str">
        <x:v>FS-008</x:v>
      </x:c>
      <x:c r="C9" s="39" t="str">
        <x:v>Charte graphique</x:v>
      </x:c>
      <x:c r="D9" s="39" t="str">
        <x:v>Palette, typographies, boutons, cartes, ombres, rayons, espacements et règles communes.</x:v>
      </x:c>
      <x:c r="E9" s="37" t="str">
        <x:v>Élevée</x:v>
      </x:c>
      <x:c r="F9" s="37" t="str">
        <x:v>Terminé</x:v>
      </x:c>
      <x:c r="G9" s="54" t="n">
        <x:v>8</x:v>
      </x:c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9" t="str">
        <x:v>2. UX/UI &amp; identité visuelle</x:v>
      </x:c>
      <x:c r="B10" s="37" t="str">
        <x:v>FS-009</x:v>
      </x:c>
      <x:c r="C10" s="39" t="str">
        <x:v>Design desktop</x:v>
      </x:c>
      <x:c r="D10" s="39" t="str">
        <x:v>Conception et ajustement des écrans principaux sur desktop/laptop.</x:v>
      </x:c>
      <x:c r="E10" s="37" t="str">
        <x:v>Élevée</x:v>
      </x:c>
      <x:c r="F10" s="37" t="str">
        <x:v>Terminé</x:v>
      </x:c>
      <x:c r="G10" s="54" t="n">
        <x:v>10</x:v>
      </x:c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9" t="str">
        <x:v>2. UX/UI &amp; identité visuelle</x:v>
      </x:c>
      <x:c r="B11" s="37" t="str">
        <x:v>FS-010</x:v>
      </x:c>
      <x:c r="C11" s="39" t="str">
        <x:v>Design mobile</x:v>
      </x:c>
      <x:c r="D11" s="39" t="str">
        <x:v>Adaptation des composants, navigation, galeries et CTA pour mobile.</x:v>
      </x:c>
      <x:c r="E11" s="37" t="str">
        <x:v>Élevée</x:v>
      </x:c>
      <x:c r="F11" s="37" t="str">
        <x:v>Terminé</x:v>
      </x:c>
      <x:c r="G11" s="54" t="n">
        <x:v>8</x:v>
      </x:c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9" t="str">
        <x:v>2. UX/UI &amp; identité visuelle</x:v>
      </x:c>
      <x:c r="B12" s="37" t="str">
        <x:v>FS-011</x:v>
      </x:c>
      <x:c r="C12" s="39" t="str">
        <x:v>Intégration du label Maître Artisan</x:v>
      </x:c>
      <x:c r="D12" s="39" t="str">
        <x:v>Intégration du logo officiel et mise en valeur cohérente sur les pages concernées.</x:v>
      </x:c>
      <x:c r="E12" s="37" t="str">
        <x:v>Moyenne</x:v>
      </x:c>
      <x:c r="F12" s="37" t="str">
        <x:v>Terminé</x:v>
      </x:c>
      <x:c r="G12" s="54" t="n">
        <x:v>4</x:v>
      </x:c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9" t="str">
        <x:v>3. Architecture &amp; socle technique</x:v>
      </x:c>
      <x:c r="B13" s="37" t="str">
        <x:v>FS-012</x:v>
      </x:c>
      <x:c r="C13" s="39" t="str">
        <x:v>Création du dépôt dédié</x:v>
      </x:c>
      <x:c r="D13" s="39" t="str">
        <x:v>Séparation du projet Ma Vitrine et mise en place d'un dépôt autonome.</x:v>
      </x:c>
      <x:c r="E13" s="37" t="str">
        <x:v>Moyenne</x:v>
      </x:c>
      <x:c r="F13" s="37" t="str">
        <x:v>Terminé</x:v>
      </x:c>
      <x:c r="G13" s="54" t="n">
        <x:v>5</x:v>
      </x:c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9" t="str">
        <x:v>3. Architecture &amp; socle technique</x:v>
      </x:c>
      <x:c r="B14" s="37" t="str">
        <x:v>FS-013</x:v>
      </x:c>
      <x:c r="C14" s="39" t="str">
        <x:v>Architecture des dossiers</x:v>
      </x:c>
      <x:c r="D14" s="39" t="str">
        <x:v>Organisation des pages, CSS, JavaScript, images, icônes, données et documentation.</x:v>
      </x:c>
      <x:c r="E14" s="37" t="str">
        <x:v>Élevée</x:v>
      </x:c>
      <x:c r="F14" s="37" t="str">
        <x:v>Terminé</x:v>
      </x:c>
      <x:c r="G14" s="54" t="n">
        <x:v>8</x:v>
      </x:c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9" t="str">
        <x:v>3. Architecture &amp; socle technique</x:v>
      </x:c>
      <x:c r="B15" s="37" t="str">
        <x:v>FS-014</x:v>
      </x:c>
      <x:c r="C15" s="39" t="str">
        <x:v>Nettoyage des dépendances</x:v>
      </x:c>
      <x:c r="D15" s="39" t="str">
        <x:v>Suppression des fichiers, scripts, styles et médias hérités non utilisés.</x:v>
      </x:c>
      <x:c r="E15" s="37" t="str">
        <x:v>Élevée</x:v>
      </x:c>
      <x:c r="F15" s="37" t="str">
        <x:v>Terminé</x:v>
      </x:c>
      <x:c r="G15" s="54" t="n">
        <x:v>7</x:v>
      </x:c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9" t="str">
        <x:v>3. Architecture &amp; socle technique</x:v>
      </x:c>
      <x:c r="B16" s="37" t="str">
        <x:v>FS-015</x:v>
      </x:c>
      <x:c r="C16" s="39" t="str">
        <x:v>Composants communs</x:v>
      </x:c>
      <x:c r="D16" s="39" t="str">
        <x:v>Header, navigation, footer, CTA, boutons sociaux et bouton WhatsApp global.</x:v>
      </x:c>
      <x:c r="E16" s="37" t="str">
        <x:v>Élevée</x:v>
      </x:c>
      <x:c r="F16" s="37" t="str">
        <x:v>Terminé</x:v>
      </x:c>
      <x:c r="G16" s="54" t="n">
        <x:v>10</x:v>
      </x:c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9" t="str">
        <x:v>3. Architecture &amp; socle technique</x:v>
      </x:c>
      <x:c r="B17" s="37" t="str">
        <x:v>FS-016</x:v>
      </x:c>
      <x:c r="C17" s="39" t="str">
        <x:v>Structure content.json</x:v>
      </x:c>
      <x:c r="D17" s="39" t="str">
        <x:v>Préparation des données structurées pour la future administration.</x:v>
      </x:c>
      <x:c r="E17" s="37" t="str">
        <x:v>Élevée</x:v>
      </x:c>
      <x:c r="F17" s="37" t="str">
        <x:v>Terminé</x:v>
      </x:c>
      <x:c r="G17" s="54" t="n">
        <x:v>6</x:v>
      </x:c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9" t="str">
        <x:v>3. Architecture &amp; socle technique</x:v>
      </x:c>
      <x:c r="B18" s="37" t="str">
        <x:v>FS-017</x:v>
      </x:c>
      <x:c r="C18" s="39" t="str">
        <x:v>Déploiement VPS autonome</x:v>
      </x:c>
      <x:c r="D18" s="39" t="str">
        <x:v>Configuration et validation du site sur un port dédié séparé de Ma Vitrine.</x:v>
      </x:c>
      <x:c r="E18" s="37" t="str">
        <x:v>Moyenne</x:v>
      </x:c>
      <x:c r="F18" s="37" t="str">
        <x:v>Terminé</x:v>
      </x:c>
      <x:c r="G18" s="54" t="n">
        <x:v>4</x:v>
      </x:c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9" t="str">
        <x:v>4. Développement des pages</x:v>
      </x:c>
      <x:c r="B19" s="37" t="str">
        <x:v>FS-018</x:v>
      </x:c>
      <x:c r="C19" s="39" t="str">
        <x:v>Page Accueil</x:v>
      </x:c>
      <x:c r="D19" s="39" t="str">
        <x:v>Hero, proposition de valeur, univers, à propos, preuve de confiance, CTA et liens sociaux.</x:v>
      </x:c>
      <x:c r="E19" s="37" t="str">
        <x:v>Très élevée</x:v>
      </x:c>
      <x:c r="F19" s="37" t="str">
        <x:v>Terminé</x:v>
      </x:c>
      <x:c r="G19" s="54" t="n">
        <x:v>18</x:v>
      </x:c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9" t="str">
        <x:v>4. Développement des pages</x:v>
      </x:c>
      <x:c r="B20" s="37" t="str">
        <x:v>FS-019</x:v>
      </x:c>
      <x:c r="C20" s="39" t="str">
        <x:v>Page Présentation</x:v>
      </x:c>
      <x:c r="D20" s="39" t="str">
        <x:v>Histoire de l'atelier, contenus validés, label, chiffres et blocs de confiance.</x:v>
      </x:c>
      <x:c r="E20" s="37" t="str">
        <x:v>Très élevée</x:v>
      </x:c>
      <x:c r="F20" s="37" t="str">
        <x:v>Terminé</x:v>
      </x:c>
      <x:c r="G20" s="54" t="n">
        <x:v>16</x:v>
      </x:c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9" t="str">
        <x:v>4. Développement des pages</x:v>
      </x:c>
      <x:c r="B21" s="37" t="str">
        <x:v>FS-020</x:v>
      </x:c>
      <x:c r="C21" s="39" t="str">
        <x:v>Page Créations</x:v>
      </x:c>
      <x:c r="D21" s="39" t="str">
        <x:v>Univers, catégories, filtres, galeries et navigation entre médias.</x:v>
      </x:c>
      <x:c r="E21" s="37" t="str">
        <x:v>Très élevée</x:v>
      </x:c>
      <x:c r="F21" s="37" t="str">
        <x:v>Terminé</x:v>
      </x:c>
      <x:c r="G21" s="54" t="n">
        <x:v>20</x:v>
      </x:c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9" t="str">
        <x:v>4. Développement des pages</x:v>
      </x:c>
      <x:c r="B22" s="37" t="str">
        <x:v>FS-021</x:v>
      </x:c>
      <x:c r="C22" s="39" t="str">
        <x:v>Page Professionnels</x:v>
      </x:c>
      <x:c r="D22" s="39" t="str">
        <x:v>Ambiance B2B distincte, expertise, patronage, prototypes, gradation et production.</x:v>
      </x:c>
      <x:c r="E22" s="37" t="str">
        <x:v>Très élevée</x:v>
      </x:c>
      <x:c r="F22" s="37" t="str">
        <x:v>Terminé</x:v>
      </x:c>
      <x:c r="G22" s="54" t="n">
        <x:v>16</x:v>
      </x:c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9" t="str">
        <x:v>4. Développement des pages</x:v>
      </x:c>
      <x:c r="B23" s="37" t="str">
        <x:v>FS-022</x:v>
      </x:c>
      <x:c r="C23" s="39" t="str">
        <x:v>Page Contact</x:v>
      </x:c>
      <x:c r="D23" s="39" t="str">
        <x:v>Coordonnées, formulaire, carte, réseaux sociaux, réassurance et CTA.</x:v>
      </x:c>
      <x:c r="E23" s="37" t="str">
        <x:v>Élevée</x:v>
      </x:c>
      <x:c r="F23" s="37" t="str">
        <x:v>Terminé</x:v>
      </x:c>
      <x:c r="G23" s="54" t="n">
        <x:v>10</x:v>
      </x:c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9" t="str">
        <x:v>5. Galeries, médias &amp; contenus</x:v>
      </x:c>
      <x:c r="B24" s="37" t="str">
        <x:v>FS-023</x:v>
      </x:c>
      <x:c r="C24" s="39" t="str">
        <x:v>Inventaire des médias</x:v>
      </x:c>
      <x:c r="D24" s="39" t="str">
        <x:v>Recensement, tri et classement des photos existantes et nouvelles.</x:v>
      </x:c>
      <x:c r="E24" s="37" t="str">
        <x:v>Élevée</x:v>
      </x:c>
      <x:c r="F24" s="37" t="str">
        <x:v>Terminé</x:v>
      </x:c>
      <x:c r="G24" s="54" t="n">
        <x:v>8</x:v>
      </x:c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9" t="str">
        <x:v>5. Galeries, médias &amp; contenus</x:v>
      </x:c>
      <x:c r="B25" s="37" t="str">
        <x:v>FS-024</x:v>
      </x:c>
      <x:c r="C25" s="39" t="str">
        <x:v>Organisation par catégories</x:v>
      </x:c>
      <x:c r="D25" s="39" t="str">
        <x:v>Classement des images par univers avec nommage et ordre d'affichage.</x:v>
      </x:c>
      <x:c r="E25" s="37" t="str">
        <x:v>Élevée</x:v>
      </x:c>
      <x:c r="F25" s="37" t="str">
        <x:v>Terminé</x:v>
      </x:c>
      <x:c r="G25" s="54" t="n">
        <x:v>8</x:v>
      </x:c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9" t="str">
        <x:v>5. Galeries, médias &amp; contenus</x:v>
      </x:c>
      <x:c r="B26" s="37" t="str">
        <x:v>FS-025</x:v>
      </x:c>
      <x:c r="C26" s="39" t="str">
        <x:v>Optimisation des images</x:v>
      </x:c>
      <x:c r="D26" s="39" t="str">
        <x:v>Compression, conversion, redimensionnement et contrôle qualité visuel.</x:v>
      </x:c>
      <x:c r="E26" s="37" t="str">
        <x:v>Élevée</x:v>
      </x:c>
      <x:c r="F26" s="37" t="str">
        <x:v>Terminé</x:v>
      </x:c>
      <x:c r="G26" s="54" t="n">
        <x:v>10</x:v>
      </x:c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9" t="str">
        <x:v>5. Galeries, médias &amp; contenus</x:v>
      </x:c>
      <x:c r="B27" s="37" t="str">
        <x:v>FS-026</x:v>
      </x:c>
      <x:c r="C27" s="39" t="str">
        <x:v>Lightbox et navigation</x:v>
      </x:c>
      <x:c r="D27" s="39" t="str">
        <x:v>Ouverture, fermeture, précédent/suivant, clavier, tactile et regroupement par catégorie.</x:v>
      </x:c>
      <x:c r="E27" s="37" t="str">
        <x:v>Très élevée</x:v>
      </x:c>
      <x:c r="F27" s="37" t="str">
        <x:v>Terminé</x:v>
      </x:c>
      <x:c r="G27" s="54" t="n">
        <x:v>10</x:v>
      </x:c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9" t="str">
        <x:v>5. Galeries, médias &amp; contenus</x:v>
      </x:c>
      <x:c r="B28" s="37" t="str">
        <x:v>FS-027</x:v>
      </x:c>
      <x:c r="C28" s="39" t="str">
        <x:v>Intégration des contenus validés</x:v>
      </x:c>
      <x:c r="D28" s="39" t="str">
        <x:v>Insertion fidèle des textes et contenus fournis par le client sans modification métier.</x:v>
      </x:c>
      <x:c r="E28" s="37" t="str">
        <x:v>Moyenne</x:v>
      </x:c>
      <x:c r="F28" s="37" t="str">
        <x:v>Terminé</x:v>
      </x:c>
      <x:c r="G28" s="54" t="n">
        <x:v>9</x:v>
      </x:c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9" t="str">
        <x:v>6. Responsive &amp; accessibilité</x:v>
      </x:c>
      <x:c r="B29" s="37" t="str">
        <x:v>FS-028</x:v>
      </x:c>
      <x:c r="C29" s="39" t="str">
        <x:v>Responsive desktop/laptop</x:v>
      </x:c>
      <x:c r="D29" s="39" t="str">
        <x:v>Ajustements des largeurs, espacements, grilles et composants.</x:v>
      </x:c>
      <x:c r="E29" s="37" t="str">
        <x:v>Élevée</x:v>
      </x:c>
      <x:c r="F29" s="37" t="str">
        <x:v>Terminé</x:v>
      </x:c>
      <x:c r="G29" s="54" t="n">
        <x:v>7</x:v>
      </x:c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9" t="str">
        <x:v>6. Responsive &amp; accessibilité</x:v>
      </x:c>
      <x:c r="B30" s="37" t="str">
        <x:v>FS-029</x:v>
      </x:c>
      <x:c r="C30" s="39" t="str">
        <x:v>Responsive tablette</x:v>
      </x:c>
      <x:c r="D30" s="39" t="str">
        <x:v>Contrôle des points de rupture intermédiaires et corrections dédiées.</x:v>
      </x:c>
      <x:c r="E30" s="37" t="str">
        <x:v>Moyenne</x:v>
      </x:c>
      <x:c r="F30" s="37" t="str">
        <x:v>Terminé</x:v>
      </x:c>
      <x:c r="G30" s="54" t="n">
        <x:v>5</x:v>
      </x:c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9" t="str">
        <x:v>6. Responsive &amp; accessibilité</x:v>
      </x:c>
      <x:c r="B31" s="37" t="str">
        <x:v>FS-030</x:v>
      </x:c>
      <x:c r="C31" s="39" t="str">
        <x:v>Responsive mobile</x:v>
      </x:c>
      <x:c r="D31" s="39" t="str">
        <x:v>Menu burger, hero, cartes, galeries, footer, CTA et WhatsApp.</x:v>
      </x:c>
      <x:c r="E31" s="37" t="str">
        <x:v>Très élevée</x:v>
      </x:c>
      <x:c r="F31" s="37" t="str">
        <x:v>Terminé</x:v>
      </x:c>
      <x:c r="G31" s="54" t="n">
        <x:v>10</x:v>
      </x:c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9" t="str">
        <x:v>6. Responsive &amp; accessibilité</x:v>
      </x:c>
      <x:c r="B32" s="37" t="str">
        <x:v>FS-031</x:v>
      </x:c>
      <x:c r="C32" s="39" t="str">
        <x:v>Accessibilité de base</x:v>
      </x:c>
      <x:c r="D32" s="39" t="str">
        <x:v>Alt, aria-label, focus clavier, contraste, lisibilité et tailles de zones cliquables.</x:v>
      </x:c>
      <x:c r="E32" s="37" t="str">
        <x:v>Élevée</x:v>
      </x:c>
      <x:c r="F32" s="37" t="str">
        <x:v>Terminé</x:v>
      </x:c>
      <x:c r="G32" s="54" t="n">
        <x:v>7</x:v>
      </x:c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9" t="str">
        <x:v>6. Responsive &amp; accessibilité</x:v>
      </x:c>
      <x:c r="B33" s="37" t="str">
        <x:v>FS-032</x:v>
      </x:c>
      <x:c r="C33" s="39" t="str">
        <x:v>Compatibilité navigateurs</x:v>
      </x:c>
      <x:c r="D33" s="39" t="str">
        <x:v>Tests et corrections sur navigateurs desktop et mobile principaux.</x:v>
      </x:c>
      <x:c r="E33" s="37" t="str">
        <x:v>Moyenne</x:v>
      </x:c>
      <x:c r="F33" s="37" t="str">
        <x:v>Terminé</x:v>
      </x:c>
      <x:c r="G33" s="54" t="n">
        <x:v>6</x:v>
      </x:c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9" t="str">
        <x:v>7. SEO, performance &amp; sécurité</x:v>
      </x:c>
      <x:c r="B34" s="37" t="str">
        <x:v>FS-033</x:v>
      </x:c>
      <x:c r="C34" s="39" t="str">
        <x:v>SEO on-page</x:v>
      </x:c>
      <x:c r="D34" s="39" t="str">
        <x:v>Titles, meta descriptions, H1/H2/H3, alt, URLs et cohérence sémantique.</x:v>
      </x:c>
      <x:c r="E34" s="37" t="str">
        <x:v>Élevée</x:v>
      </x:c>
      <x:c r="F34" s="37" t="str">
        <x:v>Terminé</x:v>
      </x:c>
      <x:c r="G34" s="54" t="n">
        <x:v>10</x:v>
      </x:c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9" t="str">
        <x:v>7. SEO, performance &amp; sécurité</x:v>
      </x:c>
      <x:c r="B35" s="37" t="str">
        <x:v>FS-034</x:v>
      </x:c>
      <x:c r="C35" s="39" t="str">
        <x:v>SEO local</x:v>
      </x:c>
      <x:c r="D35" s="39" t="str">
        <x:v>Ciblage Limay/Yvelines, coordonnées, données locales et cohérence métier.</x:v>
      </x:c>
      <x:c r="E35" s="37" t="str">
        <x:v>Élevée</x:v>
      </x:c>
      <x:c r="F35" s="37" t="str">
        <x:v>Terminé</x:v>
      </x:c>
      <x:c r="G35" s="54" t="n">
        <x:v>6</x:v>
      </x:c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9" t="str">
        <x:v>7. SEO, performance &amp; sécurité</x:v>
      </x:c>
      <x:c r="B36" s="37" t="str">
        <x:v>FS-035</x:v>
      </x:c>
      <x:c r="C36" s="39" t="str">
        <x:v>Données structurées</x:v>
      </x:c>
      <x:c r="D36" s="39" t="str">
        <x:v>Schema.org LocalBusiness/ProfessionalService et informations sociales.</x:v>
      </x:c>
      <x:c r="E36" s="37" t="str">
        <x:v>Élevée</x:v>
      </x:c>
      <x:c r="F36" s="37" t="str">
        <x:v>Terminé</x:v>
      </x:c>
      <x:c r="G36" s="54" t="n">
        <x:v>5</x:v>
      </x:c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9" t="str">
        <x:v>7. SEO, performance &amp; sécurité</x:v>
      </x:c>
      <x:c r="B37" s="37" t="str">
        <x:v>FS-036</x:v>
      </x:c>
      <x:c r="C37" s="39" t="str">
        <x:v>Sitemap &amp; robots.txt</x:v>
      </x:c>
      <x:c r="D37" s="39" t="str">
        <x:v>Création, validation et contrôle des URLs indexables.</x:v>
      </x:c>
      <x:c r="E37" s="37" t="str">
        <x:v>Moyenne</x:v>
      </x:c>
      <x:c r="F37" s="37" t="str">
        <x:v>Terminé</x:v>
      </x:c>
      <x:c r="G37" s="54" t="n">
        <x:v>4</x:v>
      </x:c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9" t="str">
        <x:v>7. SEO, performance &amp; sécurité</x:v>
      </x:c>
      <x:c r="B38" s="37" t="str">
        <x:v>FS-037</x:v>
      </x:c>
      <x:c r="C38" s="39" t="str">
        <x:v>Performance front</x:v>
      </x:c>
      <x:c r="D38" s="39" t="str">
        <x:v>Lazy loading, defer, réduction des scripts bloquants et optimisation des assets.</x:v>
      </x:c>
      <x:c r="E38" s="37" t="str">
        <x:v>Très élevée</x:v>
      </x:c>
      <x:c r="F38" s="37" t="str">
        <x:v>Terminé</x:v>
      </x:c>
      <x:c r="G38" s="54" t="n">
        <x:v>10</x:v>
      </x:c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9" t="str">
        <x:v>7. SEO, performance &amp; sécurité</x:v>
      </x:c>
      <x:c r="B39" s="37" t="str">
        <x:v>FS-038</x:v>
      </x:c>
      <x:c r="C39" s="39" t="str">
        <x:v>Sécurité front</x:v>
      </x:c>
      <x:c r="D39" s="39" t="str">
        <x:v>Contrôle des liens externes, absence de secrets, chemins locaux et endpoints inutiles.</x:v>
      </x:c>
      <x:c r="E39" s="37" t="str">
        <x:v>Élevée</x:v>
      </x:c>
      <x:c r="F39" s="37" t="str">
        <x:v>Terminé</x:v>
      </x:c>
      <x:c r="G39" s="54" t="n">
        <x:v>5</x:v>
      </x:c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9" t="str">
        <x:v>7. SEO, performance &amp; sécurité</x:v>
      </x:c>
      <x:c r="B40" s="37" t="str">
        <x:v>FS-039</x:v>
      </x:c>
      <x:c r="C40" s="39" t="str">
        <x:v>Audit des traces du template</x:v>
      </x:c>
      <x:c r="D40" s="39" t="str">
        <x:v>Recherche et suppression des références restaurant, burger, food et contenus hérités.</x:v>
      </x:c>
      <x:c r="E40" s="37" t="str">
        <x:v>Élevée</x:v>
      </x:c>
      <x:c r="F40" s="37" t="str">
        <x:v>Terminé</x:v>
      </x:c>
      <x:c r="G40" s="54" t="n">
        <x:v>5</x:v>
      </x:c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9" t="str">
        <x:v>8. Tests, recette &amp; corrections</x:v>
      </x:c>
      <x:c r="B41" s="37" t="str">
        <x:v>FS-040</x:v>
      </x:c>
      <x:c r="C41" s="39" t="str">
        <x:v>Plan de tests fonctionnels</x:v>
      </x:c>
      <x:c r="D41" s="39" t="str">
        <x:v>Définition des scénarios de test par page, parcours et interaction.</x:v>
      </x:c>
      <x:c r="E41" s="37" t="str">
        <x:v>Élevée</x:v>
      </x:c>
      <x:c r="F41" s="37" t="str">
        <x:v>Terminé</x:v>
      </x:c>
      <x:c r="G41" s="54" t="n">
        <x:v>7</x:v>
      </x:c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9" t="str">
        <x:v>8. Tests, recette &amp; corrections</x:v>
      </x:c>
      <x:c r="B42" s="37" t="str">
        <x:v>FS-041</x:v>
      </x:c>
      <x:c r="C42" s="39" t="str">
        <x:v>Recette desktop</x:v>
      </x:c>
      <x:c r="D42" s="39" t="str">
        <x:v>Contrôle complet sur laptop et grands écrans.</x:v>
      </x:c>
      <x:c r="E42" s="37" t="str">
        <x:v>Élevée</x:v>
      </x:c>
      <x:c r="F42" s="37" t="str">
        <x:v>Terminé</x:v>
      </x:c>
      <x:c r="G42" s="54" t="n">
        <x:v>8</x:v>
      </x:c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9" t="str">
        <x:v>8. Tests, recette &amp; corrections</x:v>
      </x:c>
      <x:c r="B43" s="37" t="str">
        <x:v>FS-042</x:v>
      </x:c>
      <x:c r="C43" s="39" t="str">
        <x:v>Recette mobile</x:v>
      </x:c>
      <x:c r="D43" s="39" t="str">
        <x:v>Contrôle complet sur iPhone/Android et corrections responsive.</x:v>
      </x:c>
      <x:c r="E43" s="37" t="str">
        <x:v>Très élevée</x:v>
      </x:c>
      <x:c r="F43" s="37" t="str">
        <x:v>Terminé</x:v>
      </x:c>
      <x:c r="G43" s="54" t="n">
        <x:v>10</x:v>
      </x:c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9" t="str">
        <x:v>8. Tests, recette &amp; corrections</x:v>
      </x:c>
      <x:c r="B44" s="37" t="str">
        <x:v>FS-043</x:v>
      </x:c>
      <x:c r="C44" s="39" t="str">
        <x:v>Recette galeries</x:v>
      </x:c>
      <x:c r="D44" s="39" t="str">
        <x:v>Tests des filtres, lightbox, navigation, swipe et médias manquants.</x:v>
      </x:c>
      <x:c r="E44" s="37" t="str">
        <x:v>Élevée</x:v>
      </x:c>
      <x:c r="F44" s="37" t="str">
        <x:v>Terminé</x:v>
      </x:c>
      <x:c r="G44" s="54" t="n">
        <x:v>7</x:v>
      </x:c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9" t="str">
        <x:v>8. Tests, recette &amp; corrections</x:v>
      </x:c>
      <x:c r="B45" s="37" t="str">
        <x:v>FS-044</x:v>
      </x:c>
      <x:c r="C45" s="39" t="str">
        <x:v>Recette formulaire/contact</x:v>
      </x:c>
      <x:c r="D45" s="39" t="str">
        <x:v>Validation des champs, WhatsApp, téléphone, email, carte et réseaux sociaux.</x:v>
      </x:c>
      <x:c r="E45" s="37" t="str">
        <x:v>Élevée</x:v>
      </x:c>
      <x:c r="F45" s="37" t="str">
        <x:v>Terminé</x:v>
      </x:c>
      <x:c r="G45" s="54" t="n">
        <x:v>6</x:v>
      </x:c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9" t="str">
        <x:v>8. Tests, recette &amp; corrections</x:v>
      </x:c>
      <x:c r="B46" s="37" t="str">
        <x:v>FS-045</x:v>
      </x:c>
      <x:c r="C46" s="39" t="str">
        <x:v>Intégration des retours client</x:v>
      </x:c>
      <x:c r="D46" s="39" t="str">
        <x:v>Prise en compte et vérification des demandes successives du document de recette.</x:v>
      </x:c>
      <x:c r="E46" s="37" t="str">
        <x:v>Très élevée</x:v>
      </x:c>
      <x:c r="F46" s="37" t="str">
        <x:v>Terminé</x:v>
      </x:c>
      <x:c r="G46" s="54" t="n">
        <x:v>8</x:v>
      </x:c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9" t="str">
        <x:v>8. Tests, recette &amp; corrections</x:v>
      </x:c>
      <x:c r="B47" s="37" t="str">
        <x:v>FS-046</x:v>
      </x:c>
      <x:c r="C47" s="39" t="str">
        <x:v>Stabilisation finale</x:v>
      </x:c>
      <x:c r="D47" s="39" t="str">
        <x:v>Corrections de régression, harmonisation et contrôle avant livraison.</x:v>
      </x:c>
      <x:c r="E47" s="37" t="str">
        <x:v>Très élevée</x:v>
      </x:c>
      <x:c r="F47" s="37" t="str">
        <x:v>Terminé</x:v>
      </x:c>
      <x:c r="G47" s="54" t="n">
        <x:v>4</x:v>
      </x:c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9" t="str">
        <x:v>9. Documentation &amp; livraison</x:v>
      </x:c>
      <x:c r="B48" s="37" t="str">
        <x:v>FS-047</x:v>
      </x:c>
      <x:c r="C48" s="39" t="str">
        <x:v>Cahier des charges</x:v>
      </x:c>
      <x:c r="D48" s="39" t="str">
        <x:v>Mise à jour complète du périmètre et des exigences finales.</x:v>
      </x:c>
      <x:c r="E48" s="37" t="str">
        <x:v>Élevée</x:v>
      </x:c>
      <x:c r="F48" s="37" t="str">
        <x:v>Terminé</x:v>
      </x:c>
      <x:c r="G48" s="54" t="n">
        <x:v>5</x:v>
      </x:c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9" t="str">
        <x:v>9. Documentation &amp; livraison</x:v>
      </x:c>
      <x:c r="B49" s="37" t="str">
        <x:v>FS-048</x:v>
      </x:c>
      <x:c r="C49" s="39" t="str">
        <x:v>Spécifications fonctionnelles</x:v>
      </x:c>
      <x:c r="D49" s="39" t="str">
        <x:v>Documentation détaillée des pages, parcours et comportements.</x:v>
      </x:c>
      <x:c r="E49" s="37" t="str">
        <x:v>Élevée</x:v>
      </x:c>
      <x:c r="F49" s="37" t="str">
        <x:v>Terminé</x:v>
      </x:c>
      <x:c r="G49" s="54" t="n">
        <x:v>5</x:v>
      </x:c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9" t="str">
        <x:v>9. Documentation &amp; livraison</x:v>
      </x:c>
      <x:c r="B50" s="37" t="str">
        <x:v>FS-049</x:v>
      </x:c>
      <x:c r="C50" s="39" t="str">
        <x:v>Spécifications techniques</x:v>
      </x:c>
      <x:c r="D50" s="39" t="str">
        <x:v>Architecture, fichiers, performances, sécurité et déploiement.</x:v>
      </x:c>
      <x:c r="E50" s="37" t="str">
        <x:v>Élevée</x:v>
      </x:c>
      <x:c r="F50" s="37" t="str">
        <x:v>Terminé</x:v>
      </x:c>
      <x:c r="G50" s="54" t="n">
        <x:v>5</x:v>
      </x:c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9" t="str">
        <x:v>9. Documentation &amp; livraison</x:v>
      </x:c>
      <x:c r="B51" s="37" t="str">
        <x:v>FS-050</x:v>
      </x:c>
      <x:c r="C51" s="39" t="str">
        <x:v>Guide utilisateur</x:v>
      </x:c>
      <x:c r="D51" s="39" t="str">
        <x:v>Guide de navigation, galeries, contact et future administration.</x:v>
      </x:c>
      <x:c r="E51" s="37" t="str">
        <x:v>Moyenne</x:v>
      </x:c>
      <x:c r="F51" s="37" t="str">
        <x:v>Terminé</x:v>
      </x:c>
      <x:c r="G51" s="54" t="n">
        <x:v>4</x:v>
      </x:c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9" t="str">
        <x:v>9. Documentation &amp; livraison</x:v>
      </x:c>
      <x:c r="B52" s="37" t="str">
        <x:v>FS-051</x:v>
      </x:c>
      <x:c r="C52" s="39" t="str">
        <x:v>Dossier de livraison</x:v>
      </x:c>
      <x:c r="D52" s="39" t="str">
        <x:v>Préparation du package, dépôt Git, vérification des sources et transfert.</x:v>
      </x:c>
      <x:c r="E52" s="37" t="str">
        <x:v>Élevée</x:v>
      </x:c>
      <x:c r="F52" s="37" t="str">
        <x:v>Terminé</x:v>
      </x:c>
      <x:c r="G52" s="54" t="n">
        <x:v>6</x:v>
      </x:c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9" t="str">
        <x:v>10. Préparation de l'administration future</x:v>
      </x:c>
      <x:c r="B53" s="37" t="str">
        <x:v>FS-052</x:v>
      </x:c>
      <x:c r="C53" s="39" t="str">
        <x:v>Modèle de données éditorial</x:v>
      </x:c>
      <x:c r="D53" s="39" t="str">
        <x:v>Définition des entités administrables : pages, sections, textes, médias et SEO.</x:v>
      </x:c>
      <x:c r="E53" s="37" t="str">
        <x:v>Très élevée</x:v>
      </x:c>
      <x:c r="F53" s="37" t="str">
        <x:v>Préparé</x:v>
      </x:c>
      <x:c r="G53" s="54" t="n">
        <x:v>8</x:v>
      </x:c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9" t="str">
        <x:v>10. Préparation de l'administration future</x:v>
      </x:c>
      <x:c r="B54" s="37" t="str">
        <x:v>FS-053</x:v>
      </x:c>
      <x:c r="C54" s="39" t="str">
        <x:v>Modèle de galerie administrable</x:v>
      </x:c>
      <x:c r="D54" s="39" t="str">
        <x:v>Catégories, images, ordre, activation et médias de couverture.</x:v>
      </x:c>
      <x:c r="E54" s="37" t="str">
        <x:v>Très élevée</x:v>
      </x:c>
      <x:c r="F54" s="37" t="str">
        <x:v>Préparé</x:v>
      </x:c>
      <x:c r="G54" s="54" t="n">
        <x:v>7</x:v>
      </x:c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9" t="str">
        <x:v>10. Préparation de l'administration future</x:v>
      </x:c>
      <x:c r="B55" s="37" t="str">
        <x:v>FS-054</x:v>
      </x:c>
      <x:c r="C55" s="39" t="str">
        <x:v>Préparation des points d'intégration</x:v>
      </x:c>
      <x:c r="D55" s="39" t="str">
        <x:v>Séparation contenu/présentation et emplacements destinés au back-office.</x:v>
      </x:c>
      <x:c r="E55" s="37" t="str">
        <x:v>Très élevée</x:v>
      </x:c>
      <x:c r="F55" s="37" t="str">
        <x:v>Préparé</x:v>
      </x:c>
      <x:c r="G55" s="54" t="n">
        <x:v>6</x:v>
      </x:c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9" t="str">
        <x:v>10. Préparation de l'administration future</x:v>
      </x:c>
      <x:c r="B56" s="37" t="str">
        <x:v>FS-055</x:v>
      </x:c>
      <x:c r="C56" s="39" t="str">
        <x:v>Règles de validation futures</x:v>
      </x:c>
      <x:c r="D56" s="39" t="str">
        <x:v>Règles de saisie, formats images, contraintes et prévention des contenus incohérents.</x:v>
      </x:c>
      <x:c r="E56" s="37" t="str">
        <x:v>Élevée</x:v>
      </x:c>
      <x:c r="F56" s="37" t="str">
        <x:v>Préparé</x:v>
      </x:c>
      <x:c r="G56" s="54" t="n">
        <x:v>5</x:v>
      </x:c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9" t="str">
        <x:v>10. Préparation de l'administration future</x:v>
      </x:c>
      <x:c r="B57" s="37" t="str">
        <x:v>FS-056</x:v>
      </x:c>
      <x:c r="C57" s="39" t="str">
        <x:v>Documentation phase administration</x:v>
      </x:c>
      <x:c r="D57" s="39" t="str">
        <x:v>Périmètre, prérequis et recommandations pour la seconde phase.</x:v>
      </x:c>
      <x:c r="E57" s="37" t="str">
        <x:v>Élevée</x:v>
      </x:c>
      <x:c r="F57" s="37" t="str">
        <x:v>Préparé</x:v>
      </x:c>
      <x:c r="G57" s="54" t="n">
        <x:v>4</x:v>
      </x:c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6" t="str">
        <x:v>TOTAL GÉNÉRAL</x:v>
      </x:c>
      <x:c r="B59" s="36"/>
      <x:c r="C59" s="36"/>
      <x:c r="D59" s="36"/>
      <x:c r="E59" s="36"/>
      <x:c r="F59" s="36"/>
      <x:c r="G59" s="36" t="n">
        <x:f>SUM(G2:G57)</x:f>
        <x:v>435</x:v>
      </x:c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59:F59"/>
  </x:mergeCells>
  <x:conditionalFormatting sqref="G2:G57">
    <x:cfRule type="dataBar" priority="1">
      <x:dataBar>
        <x:cfvo type="min"/>
        <x:cfvo type="max"/>
        <x:color rgb="FFC8A97E"/>
      </x:dataBar>
      <x:extLst>
        <x:ext xmlns:x14="http://schemas.microsoft.com/office/spreadsheetml/2009/9/main" uri="{B025F937-C7B1-47D3-B67F-A62EFF666E3E}">
          <x14:id>{AF00B3DC-6937-0D40-0E69-7BCC703CD7A1}</x14:id>
        </x:ext>
      </x:extLst>
    </x:cfRule>
  </x:conditionalFormatting>
  <x:dataValidations count="2">
    <x:dataValidation type="list" sqref="E2:E57">
      <x:formula1>"Faible,Moyenne,Élevée,Très élevée"</x:formula1>
    </x:dataValidation>
    <x:dataValidation type="list" sqref="F2:F57">
      <x:formula1>"À faire,En cours,Terminé,Préparé,Bloqué"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b540c6c3324eb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F00B3DC-6937-0D40-0E69-7BCC703CD7A1}">
            <x14:dataBar gradient="1">
              <x14:cfvo type="min"/>
              <x14:cfvo type="max"/>
              <x14:fillColor rgb="FFC8A97E"/>
            </x14:dataBar>
          </x14:cfRule>
          <xm:sqref>G2:G57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8" hidden="0" customWidth="1"/>
    <x:col min="3" max="3" width="12" hidden="0" customWidth="1"/>
    <x:col min="4" max="4" width="12" hidden="0" customWidth="1"/>
    <x:col min="5" max="5" width="20" hidden="0" customWidth="1"/>
  </x:cols>
  <x:sheetData>
    <x:row r="1">
      <x:c r="A1" s="40" t="str">
        <x:v>Lot</x:v>
      </x:c>
      <x:c r="B1" s="40" t="str">
        <x:v>Objectif</x:v>
      </x:c>
      <x:c r="C1" s="40" t="str">
        <x:v>Heures</x:v>
      </x:c>
      <x:c r="D1" s="40" t="str">
        <x:v>% total</x:v>
      </x:c>
      <x:c r="E1" s="40" t="str">
        <x:v>Niveau de complexité</x:v>
      </x:c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 t="str">
        <x:v>1. Cadrage &amp; conception</x:v>
      </x:c>
      <x:c r="B2" s="39" t="str">
        <x:v>Comprendre, cadrer et organiser le besoin métier.</x:v>
      </x:c>
      <x:c r="C2" s="37" t="n">
        <x:v>35</x:v>
      </x:c>
      <x:c r="D2" s="44" t="n">
        <x:v>0.08045977011494253</x:v>
      </x:c>
      <x:c r="E2" s="37" t="str">
        <x:v>Élevée</x:v>
      </x:c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 t="str">
        <x:v>2. UX/UI &amp; identité visuelle</x:v>
      </x:c>
      <x:c r="B3" s="39" t="str">
        <x:v>Créer une identité cohérente et un rendu premium.</x:v>
      </x:c>
      <x:c r="C3" s="37" t="n">
        <x:v>50</x:v>
      </x:c>
      <x:c r="D3" s="44" t="n">
        <x:v>0.11494252873563218</x:v>
      </x:c>
      <x:c r="E3" s="37" t="str">
        <x:v>Très élevée</x:v>
      </x:c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 t="str">
        <x:v>3. Architecture &amp; socle technique</x:v>
      </x:c>
      <x:c r="B4" s="39" t="str">
        <x:v>Construire une base autonome, propre et maintenable.</x:v>
      </x:c>
      <x:c r="C4" s="37" t="n">
        <x:v>40</x:v>
      </x:c>
      <x:c r="D4" s="44" t="n">
        <x:v>0.09195402298850575</x:v>
      </x:c>
      <x:c r="E4" s="37" t="str">
        <x:v>Élevée</x:v>
      </x:c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4. Développement des pages</x:v>
      </x:c>
      <x:c r="B5" s="39" t="str">
        <x:v>Développer l'ensemble des pages publiques.</x:v>
      </x:c>
      <x:c r="C5" s="37" t="n">
        <x:v>80</x:v>
      </x:c>
      <x:c r="D5" s="44" t="n">
        <x:v>0.1839080459770115</x:v>
      </x:c>
      <x:c r="E5" s="37" t="str">
        <x:v>Très élevée</x:v>
      </x:c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5. Galeries, médias &amp; contenus</x:v>
      </x:c>
      <x:c r="B6" s="39" t="str">
        <x:v>Structurer, optimiser et valoriser les créations.</x:v>
      </x:c>
      <x:c r="C6" s="37" t="n">
        <x:v>45</x:v>
      </x:c>
      <x:c r="D6" s="44" t="n">
        <x:v>0.10344827586206896</x:v>
      </x:c>
      <x:c r="E6" s="37" t="str">
        <x:v>Très élevée</x:v>
      </x:c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6. Responsive &amp; accessibilité</x:v>
      </x:c>
      <x:c r="B7" s="39" t="str">
        <x:v>Garantir une expérience de qualité sur tous les écrans.</x:v>
      </x:c>
      <x:c r="C7" s="37" t="n">
        <x:v>35</x:v>
      </x:c>
      <x:c r="D7" s="44" t="n">
        <x:v>0.08045977011494253</x:v>
      </x:c>
      <x:c r="E7" s="37" t="str">
        <x:v>Élevée</x:v>
      </x:c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7. SEO, performance &amp; sécurité</x:v>
      </x:c>
      <x:c r="B8" s="39" t="str">
        <x:v>Optimiser visibilité, vitesse et robustesse.</x:v>
      </x:c>
      <x:c r="C8" s="37" t="n">
        <x:v>45</x:v>
      </x:c>
      <x:c r="D8" s="44" t="n">
        <x:v>0.10344827586206896</x:v>
      </x:c>
      <x:c r="E8" s="37" t="str">
        <x:v>Très élevée</x:v>
      </x:c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8. Tests, recette &amp; corrections</x:v>
      </x:c>
      <x:c r="B9" s="39" t="str">
        <x:v>Valider, corriger et stabiliser la version finale.</x:v>
      </x:c>
      <x:c r="C9" s="37" t="n">
        <x:v>50</x:v>
      </x:c>
      <x:c r="D9" s="44" t="n">
        <x:v>0.11494252873563218</x:v>
      </x:c>
      <x:c r="E9" s="37" t="str">
        <x:v>Très élevée</x:v>
      </x:c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str">
        <x:v>9. Documentation &amp; livraison</x:v>
      </x:c>
      <x:c r="B10" s="39" t="str">
        <x:v>Documenter et préparer la remise du produit.</x:v>
      </x:c>
      <x:c r="C10" s="37" t="n">
        <x:v>25</x:v>
      </x:c>
      <x:c r="D10" s="44" t="n">
        <x:v>0.05747126436781609</x:v>
      </x:c>
      <x:c r="E10" s="37" t="str">
        <x:v>Élevée</x:v>
      </x:c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 t="str">
        <x:v>10. Préparation de l'administration future</x:v>
      </x:c>
      <x:c r="B11" s="39" t="str">
        <x:v>Préparer la phase 2 sans développer le back-office.</x:v>
      </x:c>
      <x:c r="C11" s="37" t="n">
        <x:v>30</x:v>
      </x:c>
      <x:c r="D11" s="44" t="n">
        <x:v>0.06896551724137931</x:v>
      </x:c>
      <x:c r="E11" s="37" t="str">
        <x:v>Très élevée</x:v>
      </x:c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6" t="str">
        <x:v>TOTAL</x:v>
      </x:c>
      <x:c r="B13" s="36" t="n">
        <x:v>435</x:v>
      </x:c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pageMargins left="0.7" right="0.7" top="0.75" bottom="0.75" header="0.3" footer="0.3"/>
  <x:tableParts count="1">
    <x:tablePart xmlns:r="http://schemas.openxmlformats.org/officeDocument/2006/relationships" r:id="R808672d1624440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36" hidden="0" customWidth="1"/>
    <x:col min="7" max="7" width="14" hidden="0" customWidth="1"/>
  </x:cols>
  <x:sheetData>
    <x:row r="1">
      <x:c r="A1" s="40" t="str">
        <x:v>Phase</x:v>
      </x:c>
      <x:c r="B1" s="40" t="str">
        <x:v>Lot</x:v>
      </x:c>
      <x:c r="C1" s="40" t="str">
        <x:v>Début</x:v>
      </x:c>
      <x:c r="D1" s="40" t="str">
        <x:v>Fin</x:v>
      </x:c>
      <x:c r="E1" s="40" t="str">
        <x:v>Charge (h)</x:v>
      </x:c>
      <x:c r="F1" s="40" t="str">
        <x:v>Livrable</x:v>
      </x:c>
      <x:c r="G1" s="40" t="str">
        <x:v>Statut</x:v>
      </x:c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 t="str">
        <x:v>Phase 1</x:v>
      </x:c>
      <x:c r="B2" s="37" t="str">
        <x:v>Cadrage &amp; conception</x:v>
      </x:c>
      <x:c r="C2" s="37" t="str">
        <x:v>Semaine 1</x:v>
      </x:c>
      <x:c r="D2" s="37" t="str">
        <x:v>Semaine 1</x:v>
      </x:c>
      <x:c r="E2" s="37" t="n">
        <x:v>35</x:v>
      </x:c>
      <x:c r="F2" s="39" t="str">
        <x:v>Périmètre et arborescence</x:v>
      </x:c>
      <x:c r="G2" s="37" t="str">
        <x:v>Terminé</x:v>
      </x:c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 t="str">
        <x:v>Phase 2</x:v>
      </x:c>
      <x:c r="B3" s="37" t="str">
        <x:v>UX/UI &amp; identité visuelle</x:v>
      </x:c>
      <x:c r="C3" s="37" t="str">
        <x:v>Semaine 1</x:v>
      </x:c>
      <x:c r="D3" s="37" t="str">
        <x:v>Semaine 2</x:v>
      </x:c>
      <x:c r="E3" s="37" t="n">
        <x:v>50</x:v>
      </x:c>
      <x:c r="F3" s="39" t="str">
        <x:v>Direction artistique validée</x:v>
      </x:c>
      <x:c r="G3" s="37" t="str">
        <x:v>Terminé</x:v>
      </x:c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 t="str">
        <x:v>Phase 3</x:v>
      </x:c>
      <x:c r="B4" s="37" t="str">
        <x:v>Architecture &amp; socle technique</x:v>
      </x:c>
      <x:c r="C4" s="37" t="str">
        <x:v>Semaine 2</x:v>
      </x:c>
      <x:c r="D4" s="37" t="str">
        <x:v>Semaine 3</x:v>
      </x:c>
      <x:c r="E4" s="37" t="n">
        <x:v>40</x:v>
      </x:c>
      <x:c r="F4" s="39" t="str">
        <x:v>Repo et socle autonome</x:v>
      </x:c>
      <x:c r="G4" s="37" t="str">
        <x:v>Terminé</x:v>
      </x:c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Phase 4</x:v>
      </x:c>
      <x:c r="B5" s="37" t="str">
        <x:v>Développement des pages</x:v>
      </x:c>
      <x:c r="C5" s="37" t="str">
        <x:v>Semaine 3</x:v>
      </x:c>
      <x:c r="D5" s="37" t="str">
        <x:v>Semaine 5</x:v>
      </x:c>
      <x:c r="E5" s="37" t="n">
        <x:v>80</x:v>
      </x:c>
      <x:c r="F5" s="39" t="str">
        <x:v>Pages publiques</x:v>
      </x:c>
      <x:c r="G5" s="37" t="str">
        <x:v>Terminé</x:v>
      </x:c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Phase 5</x:v>
      </x:c>
      <x:c r="B6" s="37" t="str">
        <x:v>Galeries, médias &amp; contenus</x:v>
      </x:c>
      <x:c r="C6" s="37" t="str">
        <x:v>Semaine 4</x:v>
      </x:c>
      <x:c r="D6" s="37" t="str">
        <x:v>Semaine 6</x:v>
      </x:c>
      <x:c r="E6" s="37" t="n">
        <x:v>45</x:v>
      </x:c>
      <x:c r="F6" s="39" t="str">
        <x:v>Galeries et médias optimisés</x:v>
      </x:c>
      <x:c r="G6" s="37" t="str">
        <x:v>Terminé</x:v>
      </x:c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Phase 6</x:v>
      </x:c>
      <x:c r="B7" s="37" t="str">
        <x:v>Responsive &amp; accessibilité</x:v>
      </x:c>
      <x:c r="C7" s="37" t="str">
        <x:v>Semaine 5</x:v>
      </x:c>
      <x:c r="D7" s="37" t="str">
        <x:v>Semaine 6</x:v>
      </x:c>
      <x:c r="E7" s="37" t="n">
        <x:v>35</x:v>
      </x:c>
      <x:c r="F7" s="39" t="str">
        <x:v>Version multi-écrans</x:v>
      </x:c>
      <x:c r="G7" s="37" t="str">
        <x:v>Terminé</x:v>
      </x:c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Phase 7</x:v>
      </x:c>
      <x:c r="B8" s="37" t="str">
        <x:v>SEO, performance &amp; sécurité</x:v>
      </x:c>
      <x:c r="C8" s="37" t="str">
        <x:v>Semaine 6</x:v>
      </x:c>
      <x:c r="D8" s="37" t="str">
        <x:v>Semaine 7</x:v>
      </x:c>
      <x:c r="E8" s="37" t="n">
        <x:v>45</x:v>
      </x:c>
      <x:c r="F8" s="39" t="str">
        <x:v>Version optimisée</x:v>
      </x:c>
      <x:c r="G8" s="37" t="str">
        <x:v>Terminé</x:v>
      </x:c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Phase 8</x:v>
      </x:c>
      <x:c r="B9" s="37" t="str">
        <x:v>Tests, recette &amp; corrections</x:v>
      </x:c>
      <x:c r="C9" s="37" t="str">
        <x:v>Semaine 7</x:v>
      </x:c>
      <x:c r="D9" s="37" t="str">
        <x:v>Semaine 8</x:v>
      </x:c>
      <x:c r="E9" s="37" t="n">
        <x:v>50</x:v>
      </x:c>
      <x:c r="F9" s="39" t="str">
        <x:v>Version stabilisée</x:v>
      </x:c>
      <x:c r="G9" s="37" t="str">
        <x:v>Terminé</x:v>
      </x:c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str">
        <x:v>Phase 9</x:v>
      </x:c>
      <x:c r="B10" s="37" t="str">
        <x:v>Documentation &amp; livraison</x:v>
      </x:c>
      <x:c r="C10" s="37" t="str">
        <x:v>Semaine 8</x:v>
      </x:c>
      <x:c r="D10" s="37" t="str">
        <x:v>Semaine 8</x:v>
      </x:c>
      <x:c r="E10" s="37" t="n">
        <x:v>25</x:v>
      </x:c>
      <x:c r="F10" s="39" t="str">
        <x:v>Dossier de livraison</x:v>
      </x:c>
      <x:c r="G10" s="37" t="str">
        <x:v>Terminé</x:v>
      </x:c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 t="str">
        <x:v>Phase 10</x:v>
      </x:c>
      <x:c r="B11" s="37" t="str">
        <x:v>Préparation admin future</x:v>
      </x:c>
      <x:c r="C11" s="37" t="str">
        <x:v>Transverse</x:v>
      </x:c>
      <x:c r="D11" s="37" t="str">
        <x:v>Phase 2</x:v>
      </x:c>
      <x:c r="E11" s="37" t="n">
        <x:v>30</x:v>
      </x:c>
      <x:c r="F11" s="39" t="str">
        <x:v>Architecture prête</x:v>
      </x:c>
      <x:c r="G11" s="37" t="str">
        <x:v>Préparé</x:v>
      </x:c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conditionalFormatting sqref="E2:E11">
    <x:cfRule type="dataBar" priority="1">
      <x:dataBar>
        <x:cfvo type="min"/>
        <x:cfvo type="max"/>
        <x:color rgb="FFE91E63"/>
      </x:dataBar>
      <x:extLst>
        <x:ext xmlns:x14="http://schemas.microsoft.com/office/spreadsheetml/2009/9/main" uri="{B025F937-C7B1-47D3-B67F-A62EFF666E3E}">
          <x14:id>{40D90213-76F7-2783-BC8F-F1E506861401}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2f93ba4f60c457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0D90213-76F7-2783-BC8F-F1E506861401}">
            <x14:dataBar gradient="1">
              <x14:cfvo type="min"/>
              <x14:cfvo type="max"/>
              <x14:fillColor rgb="FFE91E63"/>
            </x14:dataBar>
          </x14:cfRule>
          <xm:sqref>E2:E11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2" hidden="0" customWidth="1"/>
    <x:col min="4" max="4" width="14" hidden="0" customWidth="1"/>
    <x:col min="5" max="5" width="55" hidden="0" customWidth="1"/>
    <x:col min="6" max="6" width="24" hidden="0" customWidth="1"/>
  </x:cols>
  <x:sheetData>
    <x:row r="1">
      <x:c r="A1" s="40" t="str">
        <x:v>ID</x:v>
      </x:c>
      <x:c r="B1" s="40" t="str">
        <x:v>Risque</x:v>
      </x:c>
      <x:c r="C1" s="40" t="str">
        <x:v>Impact</x:v>
      </x:c>
      <x:c r="D1" s="40" t="str">
        <x:v>Probabilité</x:v>
      </x:c>
      <x:c r="E1" s="40" t="str">
        <x:v>Mesure de maîtrise</x:v>
      </x:c>
      <x:c r="F1" s="40" t="str">
        <x:v>Statut</x:v>
      </x:c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 t="str">
        <x:v>R-01</x:v>
      </x:c>
      <x:c r="B2" s="39" t="str">
        <x:v>Régression lors d'une correction finale</x:v>
      </x:c>
      <x:c r="C2" s="39" t="str">
        <x:v>Élevé</x:v>
      </x:c>
      <x:c r="D2" s="39" t="str">
        <x:v>Moyenne</x:v>
      </x:c>
      <x:c r="E2" s="39" t="str">
        <x:v>Tests de non-régression avant chaque déploiement.</x:v>
      </x:c>
      <x:c r="F2" s="39" t="str">
        <x:v>Maîtrisé</x:v>
      </x:c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 t="str">
        <x:v>R-02</x:v>
      </x:c>
      <x:c r="B3" s="39" t="str">
        <x:v>Images lourdes sur mobile</x:v>
      </x:c>
      <x:c r="C3" s="39" t="str">
        <x:v>Élevé</x:v>
      </x:c>
      <x:c r="D3" s="39" t="str">
        <x:v>Moyenne</x:v>
      </x:c>
      <x:c r="E3" s="39" t="str">
        <x:v>Compression, tailles adaptées et lazy loading.</x:v>
      </x:c>
      <x:c r="F3" s="39" t="str">
        <x:v>Maîtrisé</x:v>
      </x:c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 t="str">
        <x:v>R-03</x:v>
      </x:c>
      <x:c r="B4" s="39" t="str">
        <x:v>Contenu du template d'origine encore présent</x:v>
      </x:c>
      <x:c r="C4" s="39" t="str">
        <x:v>Élevé</x:v>
      </x:c>
      <x:c r="D4" s="39" t="str">
        <x:v>Faible</x:v>
      </x:c>
      <x:c r="E4" s="39" t="str">
        <x:v>Recherche globale et contrôle manuel.</x:v>
      </x:c>
      <x:c r="F4" s="39" t="str">
        <x:v>Maîtrisé</x:v>
      </x:c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R-04</x:v>
      </x:c>
      <x:c r="B5" s="39" t="str">
        <x:v>Admin future nécessitant une refonte</x:v>
      </x:c>
      <x:c r="C5" s="39" t="str">
        <x:v>Élevé</x:v>
      </x:c>
      <x:c r="D5" s="39" t="str">
        <x:v>Faible</x:v>
      </x:c>
      <x:c r="E5" s="39" t="str">
        <x:v>Content model et structure de fichiers préparés.</x:v>
      </x:c>
      <x:c r="F5" s="39" t="str">
        <x:v>Maîtrisé</x:v>
      </x:c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R-05</x:v>
      </x:c>
      <x:c r="B6" s="39" t="str">
        <x:v>Incompatibilité hébergement client</x:v>
      </x:c>
      <x:c r="C6" s="39" t="str">
        <x:v>Moyen</x:v>
      </x:c>
      <x:c r="D6" s="39" t="str">
        <x:v>Moyenne</x:v>
      </x:c>
      <x:c r="E6" s="39" t="str">
        <x:v>Package autonome HTML/CSS/JS et documentation de déploiement.</x:v>
      </x:c>
      <x:c r="F6" s="39" t="str">
        <x:v>À valider</x:v>
      </x:c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R-06</x:v>
      </x:c>
      <x:c r="B7" s="39" t="str">
        <x:v>Mauvaise indexation Google avant domaine final</x:v>
      </x:c>
      <x:c r="C7" s="39" t="str">
        <x:v>Moyen</x:v>
      </x:c>
      <x:c r="D7" s="39" t="str">
        <x:v>Élevée</x:v>
      </x:c>
      <x:c r="E7" s="39" t="str">
        <x:v>Mettre à jour canonical, sitemap et Search Console après domaine final.</x:v>
      </x:c>
      <x:c r="F7" s="39" t="str">
        <x:v>À traiter à la mise en ligne</x:v>
      </x:c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/>
      <x:c r="B8" s="37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/>
      <x:c r="B9" s="37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pageMargins left="0.7" right="0.7" top="0.75" bottom="0.75" header="0.3" footer="0.3"/>
  <x:tableParts count="1">
    <x:tablePart xmlns:r="http://schemas.openxmlformats.org/officeDocument/2006/relationships" r:id="R15a1c8b2102e412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8" hidden="0" customWidth="1"/>
    <x:col min="4" max="4" width="18" hidden="0" customWidth="1"/>
    <x:col min="5" max="5" width="42" hidden="0" customWidth="1"/>
    <x:col min="6" max="6" width="24" hidden="0" customWidth="1"/>
  </x:cols>
  <x:sheetData>
    <x:row r="1">
      <x:c r="A1" s="40" t="str">
        <x:v>ID</x:v>
      </x:c>
      <x:c r="B1" s="40" t="str">
        <x:v>Contrôle</x:v>
      </x:c>
      <x:c r="C1" s="40" t="str">
        <x:v>Résultat attendu</x:v>
      </x:c>
      <x:c r="D1" s="40" t="str">
        <x:v>Statut</x:v>
      </x:c>
      <x:c r="E1" s="40" t="str">
        <x:v>Preuve / commentaire</x:v>
      </x:c>
      <x:c r="F1" s="40" t="str">
        <x:v>Page</x:v>
      </x:c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37" t="str">
        <x:v>T-01</x:v>
      </x:c>
      <x:c r="B2" s="39" t="str">
        <x:v>Chargement Accueil</x:v>
      </x:c>
      <x:c r="C2" s="39" t="str">
        <x:v>Page complète sans erreur bloquante</x:v>
      </x:c>
      <x:c r="D2" s="39" t="str">
        <x:v>À valider</x:v>
      </x:c>
      <x:c r="E2" s="39" t="str"/>
      <x:c r="F2" s="39" t="str">
        <x:v>index.html</x:v>
      </x:c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 t="str">
        <x:v>T-02</x:v>
      </x:c>
      <x:c r="B3" s="39" t="str">
        <x:v>Navigation desktop</x:v>
      </x:c>
      <x:c r="C3" s="39" t="str">
        <x:v>Tous les liens ouvrent la bonne page</x:v>
      </x:c>
      <x:c r="D3" s="39" t="str">
        <x:v>À valider</x:v>
      </x:c>
      <x:c r="E3" s="39" t="str"/>
      <x:c r="F3" s="39" t="str">
        <x:v>Toutes</x:v>
      </x:c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7" t="str">
        <x:v>T-03</x:v>
      </x:c>
      <x:c r="B4" s="39" t="str">
        <x:v>Navigation mobile</x:v>
      </x:c>
      <x:c r="C4" s="39" t="str">
        <x:v>Menu burger lisible et fonctionnel</x:v>
      </x:c>
      <x:c r="D4" s="39" t="str">
        <x:v>À valider</x:v>
      </x:c>
      <x:c r="E4" s="39" t="str"/>
      <x:c r="F4" s="39" t="str">
        <x:v>Toutes</x:v>
      </x:c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T-04</x:v>
      </x:c>
      <x:c r="B5" s="39" t="str">
        <x:v>Galeries</x:v>
      </x:c>
      <x:c r="C5" s="39" t="str">
        <x:v>Filtres et lightbox par catégorie</x:v>
      </x:c>
      <x:c r="D5" s="39" t="str">
        <x:v>À valider</x:v>
      </x:c>
      <x:c r="E5" s="39" t="str"/>
      <x:c r="F5" s="39" t="str">
        <x:v>creations.html</x:v>
      </x:c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T-05</x:v>
      </x:c>
      <x:c r="B6" s="39" t="str">
        <x:v>Contact WhatsApp</x:v>
      </x:c>
      <x:c r="C6" s="39" t="str">
        <x:v>Message prérempli correct</x:v>
      </x:c>
      <x:c r="D6" s="39" t="str">
        <x:v>À valider</x:v>
      </x:c>
      <x:c r="E6" s="39" t="str"/>
      <x:c r="F6" s="39" t="str">
        <x:v>contact.html</x:v>
      </x:c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T-06</x:v>
      </x:c>
      <x:c r="B7" s="39" t="str">
        <x:v>Téléphone / email</x:v>
      </x:c>
      <x:c r="C7" s="39" t="str">
        <x:v>Liens tel: et mailto: fonctionnels</x:v>
      </x:c>
      <x:c r="D7" s="39" t="str">
        <x:v>À valider</x:v>
      </x:c>
      <x:c r="E7" s="39" t="str"/>
      <x:c r="F7" s="39" t="str">
        <x:v>Toutes</x:v>
      </x:c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T-07</x:v>
      </x:c>
      <x:c r="B8" s="39" t="str">
        <x:v>Facebook / Instagram</x:v>
      </x:c>
      <x:c r="C8" s="39" t="str">
        <x:v>Ouverture dans un nouvel onglet</x:v>
      </x:c>
      <x:c r="D8" s="39" t="str">
        <x:v>À valider</x:v>
      </x:c>
      <x:c r="E8" s="39" t="str"/>
      <x:c r="F8" s="39" t="str">
        <x:v>Footer / Contact</x:v>
      </x:c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T-08</x:v>
      </x:c>
      <x:c r="B9" s="39" t="str">
        <x:v>Responsive mobile</x:v>
      </x:c>
      <x:c r="C9" s="39" t="str">
        <x:v>Aucun débordement ni photo interminable</x:v>
      </x:c>
      <x:c r="D9" s="39" t="str">
        <x:v>À valider</x:v>
      </x:c>
      <x:c r="E9" s="39" t="str"/>
      <x:c r="F9" s="39" t="str">
        <x:v>Toutes</x:v>
      </x:c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str">
        <x:v>T-09</x:v>
      </x:c>
      <x:c r="B10" s="39" t="str">
        <x:v>SEO</x:v>
      </x:c>
      <x:c r="C10" s="39" t="str">
        <x:v>Title, description, H1, sitemap et robots présents</x:v>
      </x:c>
      <x:c r="D10" s="39" t="str">
        <x:v>À valider</x:v>
      </x:c>
      <x:c r="E10" s="39" t="str"/>
      <x:c r="F10" s="39" t="str">
        <x:v>Toutes</x:v>
      </x:c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 t="str">
        <x:v>T-10</x:v>
      </x:c>
      <x:c r="B11" s="39" t="str">
        <x:v>Performance</x:v>
      </x:c>
      <x:c r="C11" s="39" t="str">
        <x:v>Images optimisées et scripts non bloquants</x:v>
      </x:c>
      <x:c r="D11" s="39" t="str">
        <x:v>À valider</x:v>
      </x:c>
      <x:c r="E11" s="39" t="str"/>
      <x:c r="F11" s="39" t="str">
        <x:v>Toutes</x:v>
      </x:c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 t="str">
        <x:v>T-11</x:v>
      </x:c>
      <x:c r="B12" s="39" t="str">
        <x:v>Contenu métier</x:v>
      </x:c>
      <x:c r="C12" s="39" t="str">
        <x:v>Aucune référence restaurant / template</x:v>
      </x:c>
      <x:c r="D12" s="39" t="str">
        <x:v>À valider</x:v>
      </x:c>
      <x:c r="E12" s="39" t="str"/>
      <x:c r="F12" s="39" t="str">
        <x:v>Repo complet</x:v>
      </x:c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str">
        <x:v>T-12</x:v>
      </x:c>
      <x:c r="B13" s="39" t="str">
        <x:v>Label Maître Artisan</x:v>
      </x:c>
      <x:c r="C13" s="39" t="str">
        <x:v>Logo et textes visibles sans déformation</x:v>
      </x:c>
      <x:c r="D13" s="39" t="str">
        <x:v>À valider</x:v>
      </x:c>
      <x:c r="E13" s="39" t="str"/>
      <x:c r="F13" s="39" t="str">
        <x:v>Accueil / Présentation / Footer</x:v>
      </x:c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dataValidations count="1">
    <x:dataValidation type="list" sqref="D2:D100">
      <x:formula1>"À valider,Validé,Non conforme,Non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e29b7b2eac4c2b"/>
  </x:tableParts>
</x:worksheet>
</file>