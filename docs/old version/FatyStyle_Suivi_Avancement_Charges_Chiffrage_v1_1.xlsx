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1e148ad1344a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se" sheetId="1" r:id="R03a558bd1e464ee7"/>
    <x:sheet xmlns:r="http://schemas.openxmlformats.org/officeDocument/2006/relationships" name="Avancement detaille" sheetId="2" r:id="Re3306be853114d6a"/>
    <x:sheet xmlns:r="http://schemas.openxmlformats.org/officeDocument/2006/relationships" name="Chiffrage" sheetId="3" r:id="Rd6da7d775528457a"/>
    <x:sheet xmlns:r="http://schemas.openxmlformats.org/officeDocument/2006/relationships" name="Planning" sheetId="4" r:id="R92b91b88e31748b0"/>
    <x:sheet xmlns:r="http://schemas.openxmlformats.org/officeDocument/2006/relationships" name="Risques" sheetId="5" r:id="Rfbc30d29f1ef4eb5"/>
    <x:sheet xmlns:r="http://schemas.openxmlformats.org/officeDocument/2006/relationships" name="Recette" sheetId="6" r:id="R8db0d14fad9c44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# ##0 €"/>
    <x:numFmt numFmtId="202" formatCode="0%"/>
    <x:numFmt numFmtId="203" formatCode="yyyy-mm-dd"/>
  </x:numFmts>
  <x:fonts count="4">
    <x:font>
      <x:sz val="11"/>
      <x:name val="Carlito"/>
    </x:font>
    <x:font>
      <x:b/>
      <x:sz val="14"/>
      <x:color rgb="FF0B0B0B"/>
      <x:name val="Carlito"/>
    </x:font>
    <x:font>
      <x:b/>
      <x:sz val="11"/>
      <x:color rgb="FFFFFFFF"/>
      <x:name val="Carlito"/>
    </x:font>
    <x:font>
      <x:b/>
      <x:sz val="11"/>
      <x:color rgb="FF0B0B0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F7F1E8"/>
      </x:patternFill>
    </x:fill>
    <x:fill>
      <x:patternFill patternType="solid">
        <x:fgColor rgb="FF0B0B0B"/>
      </x:patternFill>
    </x:fill>
    <x:fill>
      <x:patternFill patternType="solid">
        <x:fgColor rgb="FFC8A97E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3" fillId="4" borderId="0" xfId="0" applyNumberFormat="1" applyFont="1" applyFill="1" applyBorder="1" applyAlignment="1">
      <x:alignment horizontal="center"/>
    </x:xf>
    <x:xf numFmtId="200" fontId="3" fillId="4" borderId="1" xfId="0" applyNumberFormat="1" applyFont="1" applyFill="1" applyBorder="1" applyAlignment="1">
      <x:alignment horizontal="center"/>
    </x:xf>
    <x:xf numFmtId="201" fontId="3" fillId="4" borderId="0" xfId="0" applyNumberFormat="1" applyFont="1" applyFill="1" applyBorder="1" applyAlignment="1">
      <x:alignment horizontal="center"/>
    </x:xf>
    <x:xf numFmtId="201" fontId="3" fillId="4" borderId="1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E0F2FE"/>
        </x:patternFill>
      </x:fill>
    </x:dxf>
    <x:dxf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61da9126414faa" /><Relationship Type="http://schemas.openxmlformats.org/officeDocument/2006/relationships/theme" Target="/xl/theme/theme1.xml" Id="R356675a8b9f24889" /><Relationship Type="http://schemas.openxmlformats.org/officeDocument/2006/relationships/sharedStrings" Target="/xl/sharedStrings.xml" Id="R946eb05708c24754" /><Relationship Type="http://schemas.openxmlformats.org/officeDocument/2006/relationships/worksheet" Target="/xl/worksheets/sheet1.xml" Id="R03a558bd1e464ee7" /><Relationship Type="http://schemas.openxmlformats.org/officeDocument/2006/relationships/worksheet" Target="/xl/worksheets/sheet2.xml" Id="Re3306be853114d6a" /><Relationship Type="http://schemas.openxmlformats.org/officeDocument/2006/relationships/worksheet" Target="/xl/worksheets/sheet3.xml" Id="Rd6da7d775528457a" /><Relationship Type="http://schemas.openxmlformats.org/officeDocument/2006/relationships/worksheet" Target="/xl/worksheets/sheet4.xml" Id="R92b91b88e31748b0" /><Relationship Type="http://schemas.openxmlformats.org/officeDocument/2006/relationships/worksheet" Target="/xl/worksheets/sheet5.xml" Id="Rfbc30d29f1ef4eb5" /><Relationship Type="http://schemas.openxmlformats.org/officeDocument/2006/relationships/worksheet" Target="/xl/worksheets/sheet6.xml" Id="R8db0d14fad9c4429" /></Relationships>
</file>

<file path=xl/tables/table1.xml><?xml version="1.0" encoding="utf-8"?>
<x:table xmlns:x="http://schemas.openxmlformats.org/spreadsheetml/2006/main" id="1" name="AvancementTable" displayName="AvancementTable" ref="A1:J16" headerRowCount="1">
  <x:tableColumns count="10">
    <x:tableColumn id="1" name="ID"/>
    <x:tableColumn id="2" name="Lot"/>
    <x:tableColumn id="3" name="Tâche"/>
    <x:tableColumn id="4" name="Statut"/>
    <x:tableColumn id="5" name="Priorité"/>
    <x:tableColumn id="6" name="Complexité"/>
    <x:tableColumn id="7" name="Charge estimée JH"/>
    <x:tableColumn id="8" name="Charge consommée JH"/>
    <x:tableColumn id="9" name="Reste JH"/>
    <x:tableColumn id="10" name="Utilité client"/>
  </x:tableColumns>
  <x:tableStyleInfo name="TableStyleMedium2" showRowStripes="1"/>
</x:table>
</file>

<file path=xl/tables/table2.xml><?xml version="1.0" encoding="utf-8"?>
<x:table xmlns:x="http://schemas.openxmlformats.org/spreadsheetml/2006/main" id="2" name="ChiffrageTable" displayName="ChiffrageTable" ref="A1:F10" headerRowCount="1">
  <x:tableColumns count="6">
    <x:tableColumn id="1" name="Lot"/>
    <x:tableColumn id="2" name="Complexité"/>
    <x:tableColumn id="3" name="Charge JH"/>
    <x:tableColumn id="4" name="TJM interne"/>
    <x:tableColumn id="5" name="Montant HT"/>
    <x:tableColumn id="6" name="Commentaire"/>
  </x:tableColumns>
  <x:tableStyleInfo name="TableStyleMedium2" showRowStripes="1"/>
</x:table>
</file>

<file path=xl/tables/table3.xml><?xml version="1.0" encoding="utf-8"?>
<x:table xmlns:x="http://schemas.openxmlformats.org/spreadsheetml/2006/main" id="3" name="PlanningTable" displayName="PlanningTable" ref="A1:F6" headerRowCount="1">
  <x:tableColumns count="6">
    <x:tableColumn id="1" name="Phase"/>
    <x:tableColumn id="2" name="Objectif"/>
    <x:tableColumn id="3" name="Début"/>
    <x:tableColumn id="4" name="Fin"/>
    <x:tableColumn id="5" name="Statut"/>
    <x:tableColumn id="6" name="Livrable"/>
  </x:tableColumns>
  <x:tableStyleInfo name="TableStyleMedium2" showRowStripes="1"/>
</x:table>
</file>

<file path=xl/tables/table4.xml><?xml version="1.0" encoding="utf-8"?>
<x:table xmlns:x="http://schemas.openxmlformats.org/spreadsheetml/2006/main" id="4" name="RisquesTable" displayName="RisquesTable" ref="A1:F6" headerRowCount="1">
  <x:tableColumns count="6">
    <x:tableColumn id="1" name="ID"/>
    <x:tableColumn id="2" name="Risque"/>
    <x:tableColumn id="3" name="Impact"/>
    <x:tableColumn id="4" name="Probabilité"/>
    <x:tableColumn id="5" name="Mesure"/>
    <x:tableColumn id="6" name="Statut"/>
  </x:tableColumns>
  <x:tableStyleInfo name="TableStyleMedium2" showRowStripes="1"/>
</x:table>
</file>

<file path=xl/tables/table5.xml><?xml version="1.0" encoding="utf-8"?>
<x:table xmlns:x="http://schemas.openxmlformats.org/spreadsheetml/2006/main" id="5" name="RecetteTable" displayName="RecetteTable" ref="A1:E9" headerRowCount="1">
  <x:tableColumns count="5">
    <x:tableColumn id="1" name="ID"/>
    <x:tableColumn id="2" name="Contrôle"/>
    <x:tableColumn id="3" name="PC"/>
    <x:tableColumn id="4" name="Mobile"/>
    <x:tableColumn id="5" name="Résultat attendu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cd30f1406f142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e635a5855f74ea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bdeaf6d26284e9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9e1bf76305540c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0f4133a15a147dd" /></Relationships>
</file>

<file path=xl/worksheets/sheet1.xml><?xml version="1.0" encoding="utf-8"?>
<x:worksheet xmlns:x="http://schemas.openxmlformats.org/spreadsheetml/2006/main">
  <x:sheetFormatPr defaultRowHeight="15"/>
  <x:cols>
    <x:col min="1" max="1" width="53.130001068115234" hidden="0" customWidth="1"/>
    <x:col min="2" max="2" width="34" hidden="0" customWidth="1"/>
    <x:col min="4" max="4" width="19.3799991607666" hidden="0" customWidth="1"/>
    <x:col min="5" max="5" width="6" hidden="0" customWidth="1"/>
  </x:cols>
  <x:sheetData>
    <x:row r="1">
      <x:c r="A1" s="38" t="str">
        <x:v>Faty Style - Suivi avancement, charges et chiffrage v1.1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</x:row>
    <x:row r="3">
      <x:c r="A3" s="9" t="str">
        <x:v>Client</x:v>
      </x:c>
      <x:c r="B3" s="14" t="str">
        <x:v>Faty Style</x:v>
      </x:c>
      <x:c r="D3" s="9" t="str">
        <x:v>KPIs projet</x:v>
      </x:c>
    </x:row>
    <x:row r="4">
      <x:c r="A4" s="9" t="str">
        <x:v>Version</x:v>
      </x:c>
      <x:c r="B4" s="14" t="str">
        <x:v>v1.1 - MAJ mobile/repo/VPS</x:v>
      </x:c>
      <x:c r="D4" s="18" t="str">
        <x:v>Budget cible HT</x:v>
      </x:c>
      <x:c r="E4" s="24" t="n">
        <x:v>3500</x:v>
      </x:c>
    </x:row>
    <x:row r="5">
      <x:c r="A5" s="9" t="str">
        <x:v>Date</x:v>
      </x:c>
      <x:c r="B5" s="14" t="str">
        <x:v>07/07/2026</x:v>
      </x:c>
      <x:c r="D5" s="18" t="str">
        <x:v>Prix plancher HT</x:v>
      </x:c>
      <x:c r="E5" s="24" t="n">
        <x:v>2500</x:v>
      </x:c>
    </x:row>
    <x:row r="6">
      <x:c r="A6" s="9" t="str">
        <x:v>Repo</x:v>
      </x:c>
      <x:c r="B6" s="14" t="str">
        <x:v>https://github.com/hichama-collab/fatystyle</x:v>
      </x:c>
      <x:c r="D6" s="18" t="str">
        <x:v>Charge estimée totale JH</x:v>
      </x:c>
      <x:c r="E6" s="22" t="n">
        <x:v>9</x:v>
      </x:c>
    </x:row>
    <x:row r="7">
      <x:c r="A7" s="9" t="str">
        <x:v>VPS</x:v>
      </x:c>
      <x:c r="B7" s="14" t="str">
        <x:v>http://178.105.180.143:8082/index.html</x:v>
      </x:c>
      <x:c r="D7" s="18" t="str">
        <x:v>Avancement estimé</x:v>
      </x:c>
      <x:c r="E7" s="26" t="n">
        <x:v>0.72</x:v>
      </x:c>
    </x:row>
    <x:row r="8">
      <x:c r="A8" s="9" t="str">
        <x:v>Plan cible</x:v>
      </x:c>
      <x:c r="B8" s="14" t="str">
        <x:v>Accueil / Présentation / Savoir-faire / Contact</x:v>
      </x:c>
      <x:c r="D8" s="18" t="str">
        <x:v>Reste à faire JH</x:v>
      </x:c>
      <x:c r="E8" s="22" t="n">
        <x:v>2.5</x:v>
      </x:c>
    </x:row>
    <x:row r="9">
      <x:c r="A9" s="9" t="str">
        <x:v>WordPress</x:v>
      </x:c>
      <x:c r="B9" s="14" t="str">
        <x:v>Non intégré pour le moment</x:v>
      </x:c>
    </x:row>
    <x:row r="10">
      <x:c r="A10" s="9" t="str">
        <x:v>Admin</x:v>
      </x:c>
      <x:c r="B10" s="14" t="str">
        <x:v>Stand-by, architecture préparée</x:v>
      </x:c>
    </x:row>
    <x:row r="11">
      <x:c r="A11" s="9" t="str">
        <x:v>Priorité actuelle</x:v>
      </x:c>
      <x:c r="B11" s="14" t="str">
        <x:v>Correction UX mobile + galerie par item</x:v>
      </x:c>
    </x:row>
    <x:row r="12">
      <x:c r="A12" s="9" t="str">
        <x:v>Réseaux</x:v>
      </x:c>
      <x:c r="B12" s="14" t="str">
        <x:v>Facebook + Instagram officiels</x:v>
      </x:c>
    </x:row>
    <x:row r="13">
      <x:c r="A13" s="9" t="str">
        <x:v>Statut global</x:v>
      </x:c>
      <x:c r="B13" s="14" t="str">
        <x:v>En correction avant livraison</x:v>
      </x:c>
    </x:row>
  </x:sheetData>
  <x:mergeCells>
    <x:mergeCell ref="A1:H1"/>
    <x:mergeCell ref="D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.75" hidden="0" customWidth="1"/>
    <x:col min="2" max="2" width="11.880000114440918" hidden="0" customWidth="1"/>
    <x:col min="3" max="3" width="44.5" hidden="0" customWidth="1"/>
    <x:col min="4" max="4" width="8.880000114440918" hidden="0" customWidth="1"/>
    <x:col min="5" max="5" width="9.630000114440918" hidden="0" customWidth="1"/>
    <x:col min="6" max="6" width="11.630000114440918" hidden="0" customWidth="1"/>
    <x:col min="7" max="7" width="17" hidden="0" customWidth="1"/>
    <x:col min="8" max="8" width="20.1299991607666" hidden="0" customWidth="1"/>
    <x:col min="9" max="9" width="9.380000114440918" hidden="0" customWidth="1"/>
    <x:col min="10" max="10" width="37.880001068115234" hidden="0" customWidth="1"/>
  </x:cols>
  <x:sheetData>
    <x:row r="1">
      <x:c r="A1" s="42" t="str">
        <x:v>ID</x:v>
      </x:c>
      <x:c r="B1" s="42" t="str">
        <x:v>Lot</x:v>
      </x:c>
      <x:c r="C1" s="42" t="str">
        <x:v>Tâche</x:v>
      </x:c>
      <x:c r="D1" s="42" t="str">
        <x:v>Statut</x:v>
      </x:c>
      <x:c r="E1" s="42" t="str">
        <x:v>Priorité</x:v>
      </x:c>
      <x:c r="F1" s="42" t="str">
        <x:v>Complexité</x:v>
      </x:c>
      <x:c r="G1" s="42" t="str">
        <x:v>Charge estimée JH</x:v>
      </x:c>
      <x:c r="H1" s="42" t="str">
        <x:v>Charge consommée JH</x:v>
      </x:c>
      <x:c r="I1" s="42" t="str">
        <x:v>Reste JH</x:v>
      </x:c>
      <x:c r="J1" s="42" t="str">
        <x:v>Utilité client</x:v>
      </x:c>
      <x:c r="K1" s="39"/>
    </x:row>
    <x:row r="2">
      <x:c r="A2" t="str">
        <x:v>A01</x:v>
      </x:c>
      <x:c r="B2" t="str">
        <x:v>Cadrage</x:v>
      </x:c>
      <x:c r="C2" t="str">
        <x:v>Analyse ancien site et contenus réels</x:v>
      </x:c>
      <x:c r="D2" t="str">
        <x:v>Terminé</x:v>
      </x:c>
      <x:c r="E2" t="str">
        <x:v>Haute</x:v>
      </x:c>
      <x:c r="F2" t="str">
        <x:v>Moyenne</x:v>
      </x:c>
      <x:c r="G2" s="22" t="n">
        <x:v>0.7</x:v>
      </x:c>
      <x:c r="H2" s="22" t="n">
        <x:v>0.7</x:v>
      </x:c>
      <x:c r="I2" s="22" t="n">
        <x:v>0</x:v>
      </x:c>
      <x:c r="J2" t="str">
        <x:v>Conserver le vrai travail et éviter de repartir à zéro</x:v>
      </x:c>
    </x:row>
    <x:row r="3">
      <x:c r="A3" t="str">
        <x:v>A02</x:v>
      </x:c>
      <x:c r="B3" t="str">
        <x:v>Architecture</x:v>
      </x:c>
      <x:c r="C3" t="str">
        <x:v>Détachement Ma Vitrine vers repo autonome</x:v>
      </x:c>
      <x:c r="D3" t="str">
        <x:v>Terminé</x:v>
      </x:c>
      <x:c r="E3" t="str">
        <x:v>Haute</x:v>
      </x:c>
      <x:c r="F3" t="str">
        <x:v>Élevée</x:v>
      </x:c>
      <x:c r="G3" s="22" t="n">
        <x:v>0.8</x:v>
      </x:c>
      <x:c r="H3" s="22" t="n">
        <x:v>0.8</x:v>
      </x:c>
      <x:c r="I3" s="22" t="n">
        <x:v>0</x:v>
      </x:c>
      <x:c r="J3" t="str">
        <x:v>Site transférable vers hébergeur client</x:v>
      </x:c>
    </x:row>
    <x:row r="4">
      <x:c r="A4" t="str">
        <x:v>A03</x:v>
      </x:c>
      <x:c r="B4" t="str">
        <x:v>Déploiement</x:v>
      </x:c>
      <x:c r="C4" t="str">
        <x:v>Déploiement VPS séparé IP + port 8082</x:v>
      </x:c>
      <x:c r="D4" t="str">
        <x:v>Terminé</x:v>
      </x:c>
      <x:c r="E4" t="str">
        <x:v>Haute</x:v>
      </x:c>
      <x:c r="F4" t="str">
        <x:v>Moyenne</x:v>
      </x:c>
      <x:c r="G4" s="22" t="n">
        <x:v>0.5</x:v>
      </x:c>
      <x:c r="H4" s="22" t="n">
        <x:v>0.5</x:v>
      </x:c>
      <x:c r="I4" s="22" t="n">
        <x:v>0</x:v>
      </x:c>
      <x:c r="J4" t="str">
        <x:v>Lien de test indépendant et partageable</x:v>
      </x:c>
    </x:row>
    <x:row r="5">
      <x:c r="A5" t="str">
        <x:v>A04</x:v>
      </x:c>
      <x:c r="B5" t="str">
        <x:v>Plan site</x:v>
      </x:c>
      <x:c r="C5" t="str">
        <x:v>Simplification Accueil / Présentation / Savoir-faire / Contact</x:v>
      </x:c>
      <x:c r="D5" t="str">
        <x:v>Terminé</x:v>
      </x:c>
      <x:c r="E5" t="str">
        <x:v>Haute</x:v>
      </x:c>
      <x:c r="F5" t="str">
        <x:v>Moyenne</x:v>
      </x:c>
      <x:c r="G5" s="22" t="n">
        <x:v>0.5</x:v>
      </x:c>
      <x:c r="H5" s="22" t="n">
        <x:v>0.5</x:v>
      </x:c>
      <x:c r="I5" s="22" t="n">
        <x:v>0</x:v>
      </x:c>
      <x:c r="J5" t="str">
        <x:v>Navigation plus claire</x:v>
      </x:c>
    </x:row>
    <x:row r="6">
      <x:c r="A6" t="str">
        <x:v>A05</x:v>
      </x:c>
      <x:c r="B6" t="str">
        <x:v>Design desktop</x:v>
      </x:c>
      <x:c r="C6" t="str">
        <x:v>Harmonisation header, hero, sections et footer</x:v>
      </x:c>
      <x:c r="D6" t="str">
        <x:v>En cours</x:v>
      </x:c>
      <x:c r="E6" t="str">
        <x:v>Haute</x:v>
      </x:c>
      <x:c r="F6" t="str">
        <x:v>Élevée</x:v>
      </x:c>
      <x:c r="G6" s="22" t="n">
        <x:v>1</x:v>
      </x:c>
      <x:c r="H6" s="22" t="n">
        <x:v>0.7</x:v>
      </x:c>
      <x:c r="I6" s="22" t="n">
        <x:v>0.3</x:v>
      </x:c>
      <x:c r="J6" t="str">
        <x:v>Image plus professionnelle</x:v>
      </x:c>
    </x:row>
    <x:row r="7">
      <x:c r="A7" t="str">
        <x:v>A06</x:v>
      </x:c>
      <x:c r="B7" t="str">
        <x:v>Mobile</x:v>
      </x:c>
      <x:c r="C7" t="str">
        <x:v>Correction menu burger et suppression libellé Navigation</x:v>
      </x:c>
      <x:c r="D7" t="str">
        <x:v>À faire</x:v>
      </x:c>
      <x:c r="E7" t="str">
        <x:v>Critique</x:v>
      </x:c>
      <x:c r="F7" t="str">
        <x:v>Moyenne</x:v>
      </x:c>
      <x:c r="G7" s="22" t="n">
        <x:v>0.4</x:v>
      </x:c>
      <x:c r="H7" s="22" t="n">
        <x:v>0</x:v>
      </x:c>
      <x:c r="I7" s="22" t="n">
        <x:v>0.4</x:v>
      </x:c>
      <x:c r="J7" t="str">
        <x:v>Navigation mobile compréhensible</x:v>
      </x:c>
    </x:row>
    <x:row r="8">
      <x:c r="A8" t="str">
        <x:v>A07</x:v>
      </x:c>
      <x:c r="B8" t="str">
        <x:v>Mobile</x:v>
      </x:c>
      <x:c r="C8" t="str">
        <x:v>Réduction hero mobile et paddings</x:v>
      </x:c>
      <x:c r="D8" t="str">
        <x:v>À faire</x:v>
      </x:c>
      <x:c r="E8" t="str">
        <x:v>Haute</x:v>
      </x:c>
      <x:c r="F8" t="str">
        <x:v>Moyenne</x:v>
      </x:c>
      <x:c r="G8" s="22" t="n">
        <x:v>0.4</x:v>
      </x:c>
      <x:c r="H8" s="22" t="n">
        <x:v>0</x:v>
      </x:c>
      <x:c r="I8" s="22" t="n">
        <x:v>0.4</x:v>
      </x:c>
      <x:c r="J8" t="str">
        <x:v>Lecture plus fluide sur téléphone</x:v>
      </x:c>
    </x:row>
    <x:row r="9">
      <x:c r="A9" t="str">
        <x:v>A08</x:v>
      </x:c>
      <x:c r="B9" t="str">
        <x:v>Galerie</x:v>
      </x:c>
      <x:c r="C9" t="str">
        <x:v>Regrouper créations mobile par catégories</x:v>
      </x:c>
      <x:c r="D9" t="str">
        <x:v>À faire</x:v>
      </x:c>
      <x:c r="E9" t="str">
        <x:v>Critique</x:v>
      </x:c>
      <x:c r="F9" t="str">
        <x:v>Élevée</x:v>
      </x:c>
      <x:c r="G9" s="22" t="n">
        <x:v>0.8</x:v>
      </x:c>
      <x:c r="H9" s="22" t="n">
        <x:v>0</x:v>
      </x:c>
      <x:c r="I9" s="22" t="n">
        <x:v>0.8</x:v>
      </x:c>
      <x:c r="J9" t="str">
        <x:v>Supprime la liste interminable de photos</x:v>
      </x:c>
    </x:row>
    <x:row r="10">
      <x:c r="A10" t="str">
        <x:v>A09</x:v>
      </x:c>
      <x:c r="B10" t="str">
        <x:v>Lightbox</x:v>
      </x:c>
      <x:c r="C10" t="str">
        <x:v>Défilement photos par item / catégorie</x:v>
      </x:c>
      <x:c r="D10" t="str">
        <x:v>En cours</x:v>
      </x:c>
      <x:c r="E10" t="str">
        <x:v>Critique</x:v>
      </x:c>
      <x:c r="F10" t="str">
        <x:v>Élevée</x:v>
      </x:c>
      <x:c r="G10" s="22" t="n">
        <x:v>0.8</x:v>
      </x:c>
      <x:c r="H10" s="22" t="n">
        <x:v>0.3</x:v>
      </x:c>
      <x:c r="I10" s="22" t="n">
        <x:v>0.5</x:v>
      </x:c>
      <x:c r="J10" t="str">
        <x:v>Consultation propre des créations associées</x:v>
      </x:c>
    </x:row>
    <x:row r="11">
      <x:c r="A11" t="str">
        <x:v>A10</x:v>
      </x:c>
      <x:c r="B11" t="str">
        <x:v>Photos</x:v>
      </x:c>
      <x:c r="C11" t="str">
        <x:v>Organisation dossiers cover + 01/02/03 par univers</x:v>
      </x:c>
      <x:c r="D11" t="str">
        <x:v>En cours</x:v>
      </x:c>
      <x:c r="E11" t="str">
        <x:v>Haute</x:v>
      </x:c>
      <x:c r="F11" t="str">
        <x:v>Élevée</x:v>
      </x:c>
      <x:c r="G11" s="22" t="n">
        <x:v>0.9</x:v>
      </x:c>
      <x:c r="H11" s="22" t="n">
        <x:v>0.5</x:v>
      </x:c>
      <x:c r="I11" s="22" t="n">
        <x:v>0.4</x:v>
      </x:c>
      <x:c r="J11" t="str">
        <x:v>Prépare la future admin et facilite maintenance</x:v>
      </x:c>
    </x:row>
    <x:row r="12">
      <x:c r="A12" t="str">
        <x:v>A11</x:v>
      </x:c>
      <x:c r="B12" t="str">
        <x:v>Contact</x:v>
      </x:c>
      <x:c r="C12" t="str">
        <x:v>WhatsApp flottant et formulaire prérempli</x:v>
      </x:c>
      <x:c r="D12" t="str">
        <x:v>Terminé</x:v>
      </x:c>
      <x:c r="E12" t="str">
        <x:v>Haute</x:v>
      </x:c>
      <x:c r="F12" t="str">
        <x:v>Moyenne</x:v>
      </x:c>
      <x:c r="G12" s="22" t="n">
        <x:v>0.5</x:v>
      </x:c>
      <x:c r="H12" s="22" t="n">
        <x:v>0.5</x:v>
      </x:c>
      <x:c r="I12" s="22" t="n">
        <x:v>0</x:v>
      </x:c>
      <x:c r="J12" t="str">
        <x:v>Contact immédiat sans backend complexe</x:v>
      </x:c>
    </x:row>
    <x:row r="13">
      <x:c r="A13" t="str">
        <x:v>A12</x:v>
      </x:c>
      <x:c r="B13" t="str">
        <x:v>Réseaux</x:v>
      </x:c>
      <x:c r="C13" t="str">
        <x:v>Intégration icônes Facebook / Instagram</x:v>
      </x:c>
      <x:c r="D13" t="str">
        <x:v>En cours</x:v>
      </x:c>
      <x:c r="E13" t="str">
        <x:v>Moyenne</x:v>
      </x:c>
      <x:c r="F13" t="str">
        <x:v>Faible</x:v>
      </x:c>
      <x:c r="G13" s="22" t="n">
        <x:v>0.3</x:v>
      </x:c>
      <x:c r="H13" s="22" t="n">
        <x:v>0.1</x:v>
      </x:c>
      <x:c r="I13" s="22" t="n">
        <x:v>0.2</x:v>
      </x:c>
      <x:c r="J13" t="str">
        <x:v>Ajoute les canaux officiels du client</x:v>
      </x:c>
    </x:row>
    <x:row r="14">
      <x:c r="A14" t="str">
        <x:v>A13</x:v>
      </x:c>
      <x:c r="B14" t="str">
        <x:v>SEO</x:v>
      </x:c>
      <x:c r="C14" t="str">
        <x:v>Meta title, description, alt images, OG</x:v>
      </x:c>
      <x:c r="D14" t="str">
        <x:v>À faire</x:v>
      </x:c>
      <x:c r="E14" t="str">
        <x:v>Moyenne</x:v>
      </x:c>
      <x:c r="F14" t="str">
        <x:v>Moyenne</x:v>
      </x:c>
      <x:c r="G14" s="22" t="n">
        <x:v>0.5</x:v>
      </x:c>
      <x:c r="H14" s="22" t="n">
        <x:v>0</x:v>
      </x:c>
      <x:c r="I14" s="22" t="n">
        <x:v>0.5</x:v>
      </x:c>
      <x:c r="J14" t="str">
        <x:v>Meilleure lisibilité Google et partage social</x:v>
      </x:c>
    </x:row>
    <x:row r="15">
      <x:c r="A15" t="str">
        <x:v>A14</x:v>
      </x:c>
      <x:c r="B15" t="str">
        <x:v>Qualité</x:v>
      </x:c>
      <x:c r="C15" t="str">
        <x:v>Audit restaurant/Feliciano/lorem ipsum</x:v>
      </x:c>
      <x:c r="D15" t="str">
        <x:v>À faire</x:v>
      </x:c>
      <x:c r="E15" t="str">
        <x:v>Haute</x:v>
      </x:c>
      <x:c r="F15" t="str">
        <x:v>Faible</x:v>
      </x:c>
      <x:c r="G15" s="22" t="n">
        <x:v>0.2</x:v>
      </x:c>
      <x:c r="H15" s="22" t="n">
        <x:v>0</x:v>
      </x:c>
      <x:c r="I15" s="22" t="n">
        <x:v>0.2</x:v>
      </x:c>
      <x:c r="J15" t="str">
        <x:v>Évite les erreurs visibles client</x:v>
      </x:c>
    </x:row>
    <x:row r="16">
      <x:c r="A16" t="str">
        <x:v>A15</x:v>
      </x:c>
      <x:c r="B16" t="str">
        <x:v>Docs</x:v>
      </x:c>
      <x:c r="C16" t="str">
        <x:v>Mise à jour CDC/SFD/STD/Guide/XLSX</x:v>
      </x:c>
      <x:c r="D16" t="str">
        <x:v>Terminé</x:v>
      </x:c>
      <x:c r="E16" t="str">
        <x:v>Moyenne</x:v>
      </x:c>
      <x:c r="F16" t="str">
        <x:v>Moyenne</x:v>
      </x:c>
      <x:c r="G16" s="22" t="n">
        <x:v>0.6</x:v>
      </x:c>
      <x:c r="H16" s="22" t="n">
        <x:v>0.6</x:v>
      </x:c>
      <x:c r="I16" s="22" t="n">
        <x:v>0</x:v>
      </x:c>
      <x:c r="J16" t="str">
        <x:v>Justifie la charge et sécurise la livraison</x:v>
      </x:c>
    </x:row>
    <x:row r="17">
      <x:c r="G17" s="22"/>
      <x:c r="H17" s="22"/>
      <x:c r="I17" s="22"/>
    </x:row>
    <x:row r="18">
      <x:c r="G18" s="22"/>
      <x:c r="H18" s="22"/>
      <x:c r="I18" s="22"/>
    </x:row>
    <x:row r="19">
      <x:c r="G19" s="22"/>
      <x:c r="H19" s="22"/>
      <x:c r="I19" s="22"/>
    </x:row>
    <x:row r="20">
      <x:c r="G20" s="22"/>
      <x:c r="H20" s="22"/>
      <x:c r="I20" s="22"/>
    </x:row>
    <x:row r="21">
      <x:c r="G21" s="22"/>
      <x:c r="H21" s="22"/>
      <x:c r="I21" s="22"/>
    </x:row>
    <x:row r="22">
      <x:c r="G22" s="22"/>
      <x:c r="H22" s="22"/>
      <x:c r="I22" s="22"/>
    </x:row>
    <x:row r="23">
      <x:c r="G23" s="22"/>
      <x:c r="H23" s="22"/>
      <x:c r="I23" s="22"/>
    </x:row>
    <x:row r="24">
      <x:c r="G24" s="22"/>
      <x:c r="H24" s="22"/>
      <x:c r="I24" s="22"/>
    </x:row>
    <x:row r="25">
      <x:c r="G25" s="22"/>
      <x:c r="H25" s="22"/>
      <x:c r="I25" s="22"/>
    </x:row>
    <x:row r="26">
      <x:c r="G26" s="22"/>
      <x:c r="H26" s="22"/>
      <x:c r="I26" s="22"/>
    </x:row>
    <x:row r="27">
      <x:c r="G27" s="22"/>
      <x:c r="H27" s="22"/>
      <x:c r="I27" s="22"/>
    </x:row>
    <x:row r="28">
      <x:c r="G28" s="22"/>
      <x:c r="H28" s="22"/>
      <x:c r="I28" s="22"/>
    </x:row>
    <x:row r="29">
      <x:c r="G29" s="22"/>
      <x:c r="H29" s="22"/>
      <x:c r="I29" s="22"/>
    </x:row>
    <x:row r="30">
      <x:c r="G30" s="22"/>
      <x:c r="H30" s="22"/>
      <x:c r="I30" s="22"/>
    </x:row>
    <x:row r="31">
      <x:c r="G31" s="22"/>
      <x:c r="H31" s="22"/>
      <x:c r="I31" s="22"/>
    </x:row>
    <x:row r="32">
      <x:c r="G32" s="22"/>
      <x:c r="H32" s="22"/>
      <x:c r="I32" s="22"/>
    </x:row>
    <x:row r="33">
      <x:c r="G33" s="22"/>
      <x:c r="H33" s="22"/>
      <x:c r="I33" s="22"/>
    </x:row>
    <x:row r="34">
      <x:c r="G34" s="22"/>
      <x:c r="H34" s="22"/>
      <x:c r="I34" s="22"/>
    </x:row>
    <x:row r="35">
      <x:c r="G35" s="22"/>
      <x:c r="H35" s="22"/>
      <x:c r="I35" s="22"/>
    </x:row>
    <x:row r="36">
      <x:c r="G36" s="22"/>
      <x:c r="H36" s="22"/>
      <x:c r="I36" s="22"/>
    </x:row>
    <x:row r="37">
      <x:c r="G37" s="22"/>
      <x:c r="H37" s="22"/>
      <x:c r="I37" s="22"/>
    </x:row>
    <x:row r="38">
      <x:c r="G38" s="22"/>
      <x:c r="H38" s="22"/>
      <x:c r="I38" s="22"/>
    </x:row>
    <x:row r="39">
      <x:c r="G39" s="22"/>
      <x:c r="H39" s="22"/>
      <x:c r="I39" s="22"/>
    </x:row>
    <x:row r="40">
      <x:c r="G40" s="22"/>
      <x:c r="H40" s="22"/>
      <x:c r="I40" s="22"/>
    </x:row>
    <x:row r="41">
      <x:c r="G41" s="22"/>
      <x:c r="H41" s="22"/>
      <x:c r="I41" s="22"/>
    </x:row>
    <x:row r="42">
      <x:c r="G42" s="22"/>
      <x:c r="H42" s="22"/>
      <x:c r="I42" s="22"/>
    </x:row>
    <x:row r="43">
      <x:c r="G43" s="22"/>
      <x:c r="H43" s="22"/>
      <x:c r="I43" s="22"/>
    </x:row>
    <x:row r="44">
      <x:c r="G44" s="22"/>
      <x:c r="H44" s="22"/>
      <x:c r="I44" s="22"/>
    </x:row>
    <x:row r="45">
      <x:c r="G45" s="22"/>
      <x:c r="H45" s="22"/>
      <x:c r="I45" s="22"/>
    </x:row>
    <x:row r="46">
      <x:c r="G46" s="22"/>
      <x:c r="H46" s="22"/>
      <x:c r="I46" s="22"/>
    </x:row>
    <x:row r="47">
      <x:c r="G47" s="22"/>
      <x:c r="H47" s="22"/>
      <x:c r="I47" s="22"/>
    </x:row>
    <x:row r="48">
      <x:c r="G48" s="22"/>
      <x:c r="H48" s="22"/>
      <x:c r="I48" s="22"/>
    </x:row>
    <x:row r="49">
      <x:c r="G49" s="22"/>
      <x:c r="H49" s="22"/>
      <x:c r="I49" s="22"/>
    </x:row>
    <x:row r="50">
      <x:c r="G50" s="22"/>
      <x:c r="H50" s="22"/>
      <x:c r="I50" s="22"/>
    </x:row>
  </x:sheetData>
  <x:conditionalFormatting sqref="D2:D50">
    <x:cfRule type="expression" dxfId="0" priority="1">
      <x:formula>D2="Terminé"</x:formula>
    </x:cfRule>
    <x:cfRule type="expression" dxfId="1" priority="2">
      <x:formula>D2="En cours"</x:formula>
    </x:cfRule>
    <x:cfRule type="expression" dxfId="2" priority="3">
      <x:formula>D2="À faire"</x:formula>
    </x:cfRule>
    <x:cfRule type="expression" dxfId="3" priority="4">
      <x:formula>D2="Bloqué"</x:formula>
    </x:cfRule>
  </x:conditionalFormatting>
  <x:dataValidations count="2">
    <x:dataValidation type="list" sqref="D2:D50">
      <x:formula1>"Terminé,En cours,À faire,Bloqué"</x:formula1>
    </x:dataValidation>
    <x:dataValidation type="list" sqref="E2:E50">
      <x:formula1>"Critique,Haute,Moyenne,Faible"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cd30f1406f1422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.1299991607666" hidden="0" customWidth="1"/>
    <x:col min="2" max="2" width="11.630000114440918" hidden="0" customWidth="1"/>
    <x:col min="3" max="3" width="10.5" hidden="0" customWidth="1"/>
    <x:col min="4" max="4" width="12" hidden="0" customWidth="1"/>
    <x:col min="5" max="5" width="12.25" hidden="0" customWidth="1"/>
    <x:col min="6" max="6" width="38.75" hidden="0" customWidth="1"/>
  </x:cols>
  <x:sheetData>
    <x:row r="1">
      <x:c r="A1" s="42" t="str">
        <x:v>Lot</x:v>
      </x:c>
      <x:c r="B1" s="42" t="str">
        <x:v>Complexité</x:v>
      </x:c>
      <x:c r="C1" s="42" t="str">
        <x:v>Charge JH</x:v>
      </x:c>
      <x:c r="D1" s="42" t="str">
        <x:v>TJM interne</x:v>
      </x:c>
      <x:c r="E1" s="42" t="str">
        <x:v>Montant HT</x:v>
      </x:c>
      <x:c r="F1" s="42" t="str">
        <x:v>Commentaire</x:v>
      </x:c>
      <x:c r="G1" s="39"/>
      <x:c r="H1" s="39"/>
      <x:c r="I1" s="39"/>
      <x:c r="J1" s="39"/>
      <x:c r="K1" s="39"/>
    </x:row>
    <x:row r="2">
      <x:c r="A2" t="str">
        <x:v>Cadrage contenu et fonctionnel</x:v>
      </x:c>
      <x:c r="B2" t="str">
        <x:v>Moyenne</x:v>
      </x:c>
      <x:c r="C2" s="22" t="n">
        <x:v>1.2</x:v>
      </x:c>
      <x:c r="D2" s="24" t="n">
        <x:v>450</x:v>
      </x:c>
      <x:c r="E2" s="24" t="n">
        <x:f>C2*D2</x:f>
        <x:v>540</x:v>
      </x:c>
      <x:c r="F2" t="str">
        <x:v>Analyse ancien site, plan, contenu sans redondance</x:v>
      </x:c>
    </x:row>
    <x:row r="3">
      <x:c r="A3" t="str">
        <x:v>Design et intégration desktop</x:v>
      </x:c>
      <x:c r="B3" t="str">
        <x:v>Élevée</x:v>
      </x:c>
      <x:c r="C3" s="22" t="n">
        <x:v>1.4</x:v>
      </x:c>
      <x:c r="D3" s="24" t="n">
        <x:v>450</x:v>
      </x:c>
      <x:c r="E3" s="24" t="n">
        <x:f>C3*D3</x:f>
        <x:v>630</x:v>
      </x:c>
      <x:c r="F3" t="str">
        <x:v>Hero, sections, footer, univers couture</x:v>
      </x:c>
    </x:row>
    <x:row r="4">
      <x:c r="A4" t="str">
        <x:v>Responsive mobile</x:v>
      </x:c>
      <x:c r="B4" t="str">
        <x:v>Élevée</x:v>
      </x:c>
      <x:c r="C4" s="22" t="n">
        <x:v>1.1</x:v>
      </x:c>
      <x:c r="D4" s="24" t="n">
        <x:v>450</x:v>
      </x:c>
      <x:c r="E4" s="24" t="n">
        <x:f>C4*D4</x:f>
        <x:v>495.00000000000006</x:v>
      </x:c>
      <x:c r="F4" t="str">
        <x:v>Menu burger, hero compact, WhatsApp, sections</x:v>
      </x:c>
    </x:row>
    <x:row r="5">
      <x:c r="A5" t="str">
        <x:v>Galerie et lightbox par item</x:v>
      </x:c>
      <x:c r="B5" t="str">
        <x:v>Élevée</x:v>
      </x:c>
      <x:c r="C5" s="22" t="n">
        <x:v>1.3</x:v>
      </x:c>
      <x:c r="D5" s="24" t="n">
        <x:v>450</x:v>
      </x:c>
      <x:c r="E5" s="24" t="n">
        <x:f>C5*D5</x:f>
        <x:v>585</x:v>
      </x:c>
      <x:c r="F5" t="str">
        <x:v>Groupement photos et navigation par catégorie</x:v>
      </x:c>
    </x:row>
    <x:row r="6">
      <x:c r="A6" t="str">
        <x:v>Organisation photos / architecture</x:v>
      </x:c>
      <x:c r="B6" t="str">
        <x:v>Élevée</x:v>
      </x:c>
      <x:c r="C6" s="22" t="n">
        <x:v>1</x:v>
      </x:c>
      <x:c r="D6" s="24" t="n">
        <x:v>450</x:v>
      </x:c>
      <x:c r="E6" s="24" t="n">
        <x:f>C6*D6</x:f>
        <x:v>450</x:v>
      </x:c>
      <x:c r="F6" t="str">
        <x:v>Dossiers cover + numérotation</x:v>
      </x:c>
    </x:row>
    <x:row r="7">
      <x:c r="A7" t="str">
        <x:v>Contact, WhatsApp, réseaux</x:v>
      </x:c>
      <x:c r="B7" t="str">
        <x:v>Moyenne</x:v>
      </x:c>
      <x:c r="C7" s="22" t="n">
        <x:v>0.7</x:v>
      </x:c>
      <x:c r="D7" s="24" t="n">
        <x:v>450</x:v>
      </x:c>
      <x:c r="E7" s="24" t="n">
        <x:f>C7*D7</x:f>
        <x:v>315</x:v>
      </x:c>
      <x:c r="F7" t="str">
        <x:v>CTA, formulaire, FB/Instagram</x:v>
      </x:c>
    </x:row>
    <x:row r="8">
      <x:c r="A8" t="str">
        <x:v>Repo, VPS, docs installation</x:v>
      </x:c>
      <x:c r="B8" t="str">
        <x:v>Moyenne</x:v>
      </x:c>
      <x:c r="C8" s="22" t="n">
        <x:v>0.8</x:v>
      </x:c>
      <x:c r="D8" s="24" t="n">
        <x:v>450</x:v>
      </x:c>
      <x:c r="E8" s="24" t="n">
        <x:f>C8*D8</x:f>
        <x:v>360</x:v>
      </x:c>
      <x:c r="F8" t="str">
        <x:v>Autonomie et déploiement port 8082</x:v>
      </x:c>
    </x:row>
    <x:row r="9">
      <x:c r="A9" t="str">
        <x:v>Tests et recette PC/mobile</x:v>
      </x:c>
      <x:c r="B9" t="str">
        <x:v>Moyenne</x:v>
      </x:c>
      <x:c r="C9" s="22" t="n">
        <x:v>0.8</x:v>
      </x:c>
      <x:c r="D9" s="24" t="n">
        <x:v>450</x:v>
      </x:c>
      <x:c r="E9" s="24" t="n">
        <x:f>C9*D9</x:f>
        <x:v>360</x:v>
      </x:c>
      <x:c r="F9" t="str">
        <x:v>Contrôles avant livraison</x:v>
      </x:c>
    </x:row>
    <x:row r="10">
      <x:c r="A10" t="str">
        <x:v>Documentation projet</x:v>
      </x:c>
      <x:c r="B10" t="str">
        <x:v>Moyenne</x:v>
      </x:c>
      <x:c r="C10" s="22" t="n">
        <x:v>0.7</x:v>
      </x:c>
      <x:c r="D10" s="24" t="n">
        <x:v>450</x:v>
      </x:c>
      <x:c r="E10" s="24" t="n">
        <x:f>C10*D10</x:f>
        <x:v>315</x:v>
      </x:c>
      <x:c r="F10" t="str">
        <x:v>CDC, SFD, STD, guide, suivi</x:v>
      </x:c>
    </x:row>
    <x:row r="11">
      <x:c r="C11" s="22"/>
      <x:c r="D11" s="24"/>
      <x:c r="E11" s="24"/>
    </x:row>
    <x:row r="12">
      <x:c r="A12" s="18" t="str">
        <x:v>Total charge JH</x:v>
      </x:c>
      <x:c r="B12" s="18" t="n">
        <x:f>SUM(C2:C10)</x:f>
        <x:v>9</x:v>
      </x:c>
      <x:c r="C12" s="30" t="str">
        <x:v>Total HT</x:v>
      </x:c>
      <x:c r="D12" s="32" t="n">
        <x:f>SUM(E2:E10)</x:f>
        <x:v>4050</x:v>
      </x:c>
      <x:c r="E12" s="24"/>
    </x:row>
  </x:sheetData>
  <x:pageMargins left="0.7" right="0.7" top="0.75" bottom="0.75" header="0.3" footer="0.3"/>
  <x:tableParts count="1">
    <x:tablePart xmlns:r="http://schemas.openxmlformats.org/officeDocument/2006/relationships" r:id="Rbe635a5855f74ea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.630000114440918" hidden="0" customWidth="1"/>
    <x:col min="2" max="2" width="22.25" hidden="0" customWidth="1"/>
    <x:col min="3" max="3" width="9.130000114440918" hidden="0" customWidth="1"/>
    <x:col min="4" max="4" width="9.130000114440918" hidden="0" customWidth="1"/>
    <x:col min="5" max="5" width="7.630000114440918" hidden="0" customWidth="1"/>
    <x:col min="6" max="6" width="25.75" hidden="0" customWidth="1"/>
  </x:cols>
  <x:sheetData>
    <x:row r="1">
      <x:c r="A1" s="42" t="str">
        <x:v>Phase</x:v>
      </x:c>
      <x:c r="B1" s="42" t="str">
        <x:v>Objectif</x:v>
      </x:c>
      <x:c r="C1" s="42" t="str">
        <x:v>Début</x:v>
      </x:c>
      <x:c r="D1" s="42" t="str">
        <x:v>Fin</x:v>
      </x:c>
      <x:c r="E1" s="42" t="str">
        <x:v>Statut</x:v>
      </x:c>
      <x:c r="F1" s="42" t="str">
        <x:v>Livrable</x:v>
      </x:c>
      <x:c r="G1" s="39"/>
      <x:c r="H1" s="39"/>
      <x:c r="I1" s="39"/>
      <x:c r="J1" s="39"/>
      <x:c r="K1" s="39"/>
    </x:row>
    <x:row r="2">
      <x:c r="A2" t="str">
        <x:v>Phase 1</x:v>
      </x:c>
      <x:c r="B2" t="str">
        <x:v>Stabilisation repo + VPS</x:v>
      </x:c>
      <x:c r="C2" s="34" t="str">
        <x:v>2026-07-07</x:v>
      </x:c>
      <x:c r="D2" s="34" t="str">
        <x:v>2026-07-07</x:v>
      </x:c>
      <x:c r="E2" t="str">
        <x:v>Terminé</x:v>
      </x:c>
      <x:c r="F2" t="str">
        <x:v>Repo autonome + URL VPS</x:v>
      </x:c>
    </x:row>
    <x:row r="3">
      <x:c r="A3" t="str">
        <x:v>Phase 2</x:v>
      </x:c>
      <x:c r="B3" t="str">
        <x:v>Correction UX mobile</x:v>
      </x:c>
      <x:c r="C3" s="34" t="str">
        <x:v>2026-07-07</x:v>
      </x:c>
      <x:c r="D3" s="34" t="str">
        <x:v>2026-07-08</x:v>
      </x:c>
      <x:c r="E3" t="str">
        <x:v>À faire</x:v>
      </x:c>
      <x:c r="F3" t="str">
        <x:v>Burger + hero mobile + WhatsApp</x:v>
      </x:c>
    </x:row>
    <x:row r="4">
      <x:c r="A4" t="str">
        <x:v>Phase 3</x:v>
      </x:c>
      <x:c r="B4" t="str">
        <x:v>Galerie catégories et lightbox</x:v>
      </x:c>
      <x:c r="C4" s="34" t="str">
        <x:v>2026-07-08</x:v>
      </x:c>
      <x:c r="D4" s="34" t="str">
        <x:v>2026-07-09</x:v>
      </x:c>
      <x:c r="E4" t="str">
        <x:v>À faire</x:v>
      </x:c>
      <x:c r="F4" t="str">
        <x:v>Galeries par item</x:v>
      </x:c>
    </x:row>
    <x:row r="5">
      <x:c r="A5" t="str">
        <x:v>Phase 4</x:v>
      </x:c>
      <x:c r="B5" t="str">
        <x:v>Finition design PC/mobile</x:v>
      </x:c>
      <x:c r="C5" s="34" t="str">
        <x:v>2026-07-09</x:v>
      </x:c>
      <x:c r="D5" s="34" t="str">
        <x:v>2026-07-10</x:v>
      </x:c>
      <x:c r="E5" t="str">
        <x:v>À faire</x:v>
      </x:c>
      <x:c r="F5" t="str">
        <x:v>Rendu premium homogène</x:v>
      </x:c>
    </x:row>
    <x:row r="6">
      <x:c r="A6" t="str">
        <x:v>Phase 5</x:v>
      </x:c>
      <x:c r="B6" t="str">
        <x:v>Recette client</x:v>
      </x:c>
      <x:c r="C6" s="34" t="str">
        <x:v>2026-07-10</x:v>
      </x:c>
      <x:c r="D6" s="34" t="str">
        <x:v>2026-07-11</x:v>
      </x:c>
      <x:c r="E6" t="str">
        <x:v>À faire</x:v>
      </x:c>
      <x:c r="F6" t="str">
        <x:v>PV de recette / corrections finales</x:v>
      </x:c>
    </x:row>
  </x:sheetData>
  <x:pageMargins left="0.7" right="0.7" top="0.75" bottom="0.75" header="0.3" footer="0.3"/>
  <x:tableParts count="1">
    <x:tablePart xmlns:r="http://schemas.openxmlformats.org/officeDocument/2006/relationships" r:id="Rcbdeaf6d26284e9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.75" hidden="0" customWidth="1"/>
    <x:col min="2" max="2" width="27.75" hidden="0" customWidth="1"/>
    <x:col min="3" max="3" width="8.380000114440918" hidden="0" customWidth="1"/>
    <x:col min="4" max="4" width="11.380000114440918" hidden="0" customWidth="1"/>
    <x:col min="5" max="5" width="39.880001068115234" hidden="0" customWidth="1"/>
    <x:col min="6" max="6" width="7.630000114440918" hidden="0" customWidth="1"/>
  </x:cols>
  <x:sheetData>
    <x:row r="1">
      <x:c r="A1" s="42" t="str">
        <x:v>ID</x:v>
      </x:c>
      <x:c r="B1" s="42" t="str">
        <x:v>Risque</x:v>
      </x:c>
      <x:c r="C1" s="42" t="str">
        <x:v>Impact</x:v>
      </x:c>
      <x:c r="D1" s="42" t="str">
        <x:v>Probabilité</x:v>
      </x:c>
      <x:c r="E1" s="42" t="str">
        <x:v>Mesure</x:v>
      </x:c>
      <x:c r="F1" s="42" t="str">
        <x:v>Statut</x:v>
      </x:c>
      <x:c r="G1" s="39"/>
      <x:c r="H1" s="39"/>
      <x:c r="I1" s="39"/>
      <x:c r="J1" s="39"/>
      <x:c r="K1" s="39"/>
    </x:row>
    <x:row r="2">
      <x:c r="A2" t="str">
        <x:v>R01</x:v>
      </x:c>
      <x:c r="B2" t="str">
        <x:v>Mobile trop long à cause des photos</x:v>
      </x:c>
      <x:c r="C2" t="str">
        <x:v>Élevé</x:v>
      </x:c>
      <x:c r="D2" t="str">
        <x:v>Élevée</x:v>
      </x:c>
      <x:c r="E2" t="str">
        <x:v>Regrouper par catégories et charger au clic</x:v>
      </x:c>
      <x:c r="F2" t="str">
        <x:v>Ouvert</x:v>
      </x:c>
    </x:row>
    <x:row r="3">
      <x:c r="A3" t="str">
        <x:v>R02</x:v>
      </x:c>
      <x:c r="B3" t="str">
        <x:v>Client insiste sur WordPress</x:v>
      </x:c>
      <x:c r="C3" t="str">
        <x:v>Moyen</x:v>
      </x:c>
      <x:c r="D3" t="str">
        <x:v>Moyenne</x:v>
      </x:c>
      <x:c r="E3" t="str">
        <x:v>Démontrer admin future + site plus léger</x:v>
      </x:c>
      <x:c r="F3" t="str">
        <x:v>Surveillé</x:v>
      </x:c>
    </x:row>
    <x:row r="4">
      <x:c r="A4" t="str">
        <x:v>R03</x:v>
      </x:c>
      <x:c r="B4" t="str">
        <x:v>Photos anciennes de qualité variable</x:v>
      </x:c>
      <x:c r="C4" t="str">
        <x:v>Moyen</x:v>
      </x:c>
      <x:c r="D4" t="str">
        <x:v>Élevée</x:v>
      </x:c>
      <x:c r="E4" t="str">
        <x:v>Sélection cover + lightbox sans recadrage violent</x:v>
      </x:c>
      <x:c r="F4" t="str">
        <x:v>Ouvert</x:v>
      </x:c>
    </x:row>
    <x:row r="5">
      <x:c r="A5" t="str">
        <x:v>R04</x:v>
      </x:c>
      <x:c r="B5" t="str">
        <x:v>Hébergeur final inconnu</x:v>
      </x:c>
      <x:c r="C5" t="str">
        <x:v>Moyen</x:v>
      </x:c>
      <x:c r="D5" t="str">
        <x:v>Moyenne</x:v>
      </x:c>
      <x:c r="E5" t="str">
        <x:v>Livrer package autonome Apache/Nginx</x:v>
      </x:c>
      <x:c r="F5" t="str">
        <x:v>Surveillé</x:v>
      </x:c>
    </x:row>
    <x:row r="6">
      <x:c r="A6" t="str">
        <x:v>R05</x:v>
      </x:c>
      <x:c r="B6" t="str">
        <x:v>Port VPS non sécurisé HTTP</x:v>
      </x:c>
      <x:c r="C6" t="str">
        <x:v>Faible</x:v>
      </x:c>
      <x:c r="D6" t="str">
        <x:v>Élevée</x:v>
      </x:c>
      <x:c r="E6" t="str">
        <x:v>OK pour test ; prévoir HTTPS/domaine en production</x:v>
      </x:c>
      <x:c r="F6" t="str">
        <x:v>Accepté</x:v>
      </x:c>
    </x:row>
  </x:sheetData>
  <x:pageMargins left="0.7" right="0.7" top="0.75" bottom="0.75" header="0.3" footer="0.3"/>
  <x:tableParts count="1">
    <x:tablePart xmlns:r="http://schemas.openxmlformats.org/officeDocument/2006/relationships" r:id="R49e1bf76305540c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.75" hidden="0" customWidth="1"/>
    <x:col min="2" max="2" width="17.25" hidden="0" customWidth="1"/>
    <x:col min="3" max="3" width="8" hidden="0" customWidth="1"/>
    <x:col min="4" max="4" width="8.5" hidden="0" customWidth="1"/>
    <x:col min="5" max="5" width="26.6299991607666" hidden="0" customWidth="1"/>
  </x:cols>
  <x:sheetData>
    <x:row r="1">
      <x:c r="A1" s="42" t="str">
        <x:v>ID</x:v>
      </x:c>
      <x:c r="B1" s="42" t="str">
        <x:v>Contrôle</x:v>
      </x:c>
      <x:c r="C1" s="42" t="str">
        <x:v>PC</x:v>
      </x:c>
      <x:c r="D1" s="42" t="str">
        <x:v>Mobile</x:v>
      </x:c>
      <x:c r="E1" s="42" t="str">
        <x:v>Résultat attendu</x:v>
      </x:c>
      <x:c r="F1" s="39"/>
      <x:c r="G1" s="39"/>
      <x:c r="H1" s="39"/>
      <x:c r="I1" s="39"/>
      <x:c r="J1" s="39"/>
      <x:c r="K1" s="39"/>
    </x:row>
    <x:row r="2">
      <x:c r="A2" t="str">
        <x:v>Q01</x:v>
      </x:c>
      <x:c r="B2" t="str">
        <x:v>Menu principal</x:v>
      </x:c>
      <x:c r="C2" t="str">
        <x:v>OK</x:v>
      </x:c>
      <x:c r="D2" t="str">
        <x:v>À corriger</x:v>
      </x:c>
      <x:c r="E2" t="str">
        <x:v>Burger mobile sans mot Navigation</x:v>
      </x:c>
    </x:row>
    <x:row r="3">
      <x:c r="A3" t="str">
        <x:v>Q02</x:v>
      </x:c>
      <x:c r="B3" t="str">
        <x:v>Hero accueil</x:v>
      </x:c>
      <x:c r="C3" t="str">
        <x:v>À ajuster</x:v>
      </x:c>
      <x:c r="D3" t="str">
        <x:v>À ajuster</x:v>
      </x:c>
      <x:c r="E3" t="str">
        <x:v>Titre lisible, non massif</x:v>
      </x:c>
    </x:row>
    <x:row r="4">
      <x:c r="A4" t="str">
        <x:v>Q03</x:v>
      </x:c>
      <x:c r="B4" t="str">
        <x:v>Présentation créations</x:v>
      </x:c>
      <x:c r="C4" t="str">
        <x:v>OK partiel</x:v>
      </x:c>
      <x:c r="D4" t="str">
        <x:v>À corriger</x:v>
      </x:c>
      <x:c r="E4" t="str">
        <x:v>Catégories + galerie au clic</x:v>
      </x:c>
    </x:row>
    <x:row r="5">
      <x:c r="A5" t="str">
        <x:v>Q04</x:v>
      </x:c>
      <x:c r="B5" t="str">
        <x:v>Lightbox</x:v>
      </x:c>
      <x:c r="C5" t="str">
        <x:v>À corriger</x:v>
      </x:c>
      <x:c r="D5" t="str">
        <x:v>À corriger</x:v>
      </x:c>
      <x:c r="E5" t="str">
        <x:v>Défilement photos par item</x:v>
      </x:c>
    </x:row>
    <x:row r="6">
      <x:c r="A6" t="str">
        <x:v>Q05</x:v>
      </x:c>
      <x:c r="B6" t="str">
        <x:v>WhatsApp flottant</x:v>
      </x:c>
      <x:c r="C6" t="str">
        <x:v>OK</x:v>
      </x:c>
      <x:c r="D6" t="str">
        <x:v>À ajuster</x:v>
      </x:c>
      <x:c r="E6" t="str">
        <x:v>Visible sans gêner</x:v>
      </x:c>
    </x:row>
    <x:row r="7">
      <x:c r="A7" t="str">
        <x:v>Q06</x:v>
      </x:c>
      <x:c r="B7" t="str">
        <x:v>Facebook / Instagram</x:v>
      </x:c>
      <x:c r="C7" t="str">
        <x:v>À vérifier</x:v>
      </x:c>
      <x:c r="D7" t="str">
        <x:v>À vérifier</x:v>
      </x:c>
      <x:c r="E7" t="str">
        <x:v>Icônes locales footer/contact</x:v>
      </x:c>
    </x:row>
    <x:row r="8">
      <x:c r="A8" t="str">
        <x:v>Q07</x:v>
      </x:c>
      <x:c r="B8" t="str">
        <x:v>Restaurant audit</x:v>
      </x:c>
      <x:c r="C8" t="str">
        <x:v>À faire</x:v>
      </x:c>
      <x:c r="D8" t="str">
        <x:v>À faire</x:v>
      </x:c>
      <x:c r="E8" t="str">
        <x:v>Aucune trace restaurant</x:v>
      </x:c>
    </x:row>
    <x:row r="9">
      <x:c r="A9" t="str">
        <x:v>Q08</x:v>
      </x:c>
      <x:c r="B9" t="str">
        <x:v>Performance images</x:v>
      </x:c>
      <x:c r="C9" t="str">
        <x:v>À faire</x:v>
      </x:c>
      <x:c r="D9" t="str">
        <x:v>À faire</x:v>
      </x:c>
      <x:c r="E9" t="str">
        <x:v>Lazy loading et images optimisées</x:v>
      </x:c>
    </x:row>
  </x:sheetData>
  <x:pageMargins left="0.7" right="0.7" top="0.75" bottom="0.75" header="0.3" footer="0.3"/>
  <x:tableParts count="1">
    <x:tablePart xmlns:r="http://schemas.openxmlformats.org/officeDocument/2006/relationships" r:id="R10f4133a15a147dd"/>
  </x:tableParts>
</x:worksheet>
</file>